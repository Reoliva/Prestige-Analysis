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dol\Desktop\ultimo intento\"/>
    </mc:Choice>
  </mc:AlternateContent>
  <xr:revisionPtr revIDLastSave="0" documentId="13_ncr:1_{919547FD-4A3D-4B17-A20B-6FE9396D17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1" i="1" l="1"/>
  <c r="AK61" i="1"/>
  <c r="AJ61" i="1"/>
  <c r="AI61" i="1"/>
  <c r="AH61" i="1"/>
  <c r="AL60" i="1"/>
  <c r="AK60" i="1"/>
  <c r="AJ60" i="1"/>
  <c r="AI60" i="1"/>
  <c r="AH60" i="1"/>
  <c r="AL59" i="1"/>
  <c r="AK59" i="1"/>
  <c r="AJ59" i="1"/>
  <c r="AI59" i="1"/>
  <c r="AH59" i="1"/>
  <c r="AL58" i="1"/>
  <c r="AK58" i="1"/>
  <c r="AJ58" i="1"/>
  <c r="AI58" i="1"/>
  <c r="AH58" i="1"/>
  <c r="AL57" i="1"/>
  <c r="AK57" i="1"/>
  <c r="AJ57" i="1"/>
  <c r="AI57" i="1"/>
  <c r="AH57" i="1"/>
  <c r="AL56" i="1"/>
  <c r="AK56" i="1"/>
  <c r="AJ56" i="1"/>
  <c r="AI56" i="1"/>
  <c r="AH56" i="1"/>
  <c r="AL55" i="1"/>
  <c r="AK55" i="1"/>
  <c r="AJ55" i="1"/>
  <c r="AI55" i="1"/>
  <c r="AH55" i="1"/>
  <c r="AL54" i="1"/>
  <c r="AK54" i="1"/>
  <c r="AJ54" i="1"/>
  <c r="AI54" i="1"/>
  <c r="AH54" i="1"/>
  <c r="AL53" i="1"/>
  <c r="AK53" i="1"/>
  <c r="AJ53" i="1"/>
  <c r="AI53" i="1"/>
  <c r="AH53" i="1"/>
  <c r="AL52" i="1"/>
  <c r="AK52" i="1"/>
  <c r="AJ52" i="1"/>
  <c r="AI52" i="1"/>
  <c r="AH52" i="1"/>
  <c r="AL51" i="1"/>
  <c r="AK51" i="1"/>
  <c r="AJ51" i="1"/>
  <c r="AI51" i="1"/>
  <c r="AH51" i="1"/>
  <c r="AL50" i="1"/>
  <c r="AK50" i="1"/>
  <c r="AJ50" i="1"/>
  <c r="AI50" i="1"/>
  <c r="AH50" i="1"/>
  <c r="AL49" i="1"/>
  <c r="AK49" i="1"/>
  <c r="AJ49" i="1"/>
  <c r="AI49" i="1"/>
  <c r="AH49" i="1"/>
  <c r="AL48" i="1"/>
  <c r="AK48" i="1"/>
  <c r="AJ48" i="1"/>
  <c r="AI48" i="1"/>
  <c r="AH48" i="1"/>
  <c r="AL47" i="1"/>
  <c r="AK47" i="1"/>
  <c r="AJ47" i="1"/>
  <c r="AI47" i="1"/>
  <c r="AH47" i="1"/>
  <c r="AL46" i="1"/>
  <c r="AK46" i="1"/>
  <c r="AJ46" i="1"/>
  <c r="AI46" i="1"/>
  <c r="AH46" i="1"/>
  <c r="AL45" i="1"/>
  <c r="AK45" i="1"/>
  <c r="AJ45" i="1"/>
  <c r="AI45" i="1"/>
  <c r="AH45" i="1"/>
  <c r="AL44" i="1"/>
  <c r="AK44" i="1"/>
  <c r="AJ44" i="1"/>
  <c r="AI44" i="1"/>
  <c r="AH44" i="1"/>
  <c r="AL43" i="1"/>
  <c r="AK43" i="1"/>
  <c r="AJ43" i="1"/>
  <c r="AI43" i="1"/>
  <c r="AH43" i="1"/>
  <c r="AL42" i="1"/>
  <c r="AK42" i="1"/>
  <c r="AJ42" i="1"/>
  <c r="AI42" i="1"/>
  <c r="AH42" i="1"/>
  <c r="AL41" i="1"/>
  <c r="AK41" i="1"/>
  <c r="AJ41" i="1"/>
  <c r="AI41" i="1"/>
  <c r="AH41" i="1"/>
  <c r="AL40" i="1"/>
  <c r="AK40" i="1"/>
  <c r="AJ40" i="1"/>
  <c r="AI40" i="1"/>
  <c r="AH40" i="1"/>
  <c r="AL39" i="1"/>
  <c r="AK39" i="1"/>
  <c r="AJ39" i="1"/>
  <c r="AI39" i="1"/>
  <c r="AH39" i="1"/>
  <c r="AL38" i="1"/>
  <c r="AK38" i="1"/>
  <c r="AJ38" i="1"/>
  <c r="AI38" i="1"/>
  <c r="AH38" i="1"/>
  <c r="AL37" i="1"/>
  <c r="AK37" i="1"/>
  <c r="AJ37" i="1"/>
  <c r="AI37" i="1"/>
  <c r="AH37" i="1"/>
  <c r="AL36" i="1"/>
  <c r="AK36" i="1"/>
  <c r="AJ36" i="1"/>
  <c r="AI36" i="1"/>
  <c r="AH36" i="1"/>
  <c r="AL35" i="1"/>
  <c r="AK35" i="1"/>
  <c r="AJ35" i="1"/>
  <c r="AI35" i="1"/>
  <c r="AH35" i="1"/>
  <c r="AL34" i="1"/>
  <c r="AK34" i="1"/>
  <c r="AJ34" i="1"/>
  <c r="AI34" i="1"/>
  <c r="AH34" i="1"/>
  <c r="AL33" i="1"/>
  <c r="AK33" i="1"/>
  <c r="AJ33" i="1"/>
  <c r="AI33" i="1"/>
  <c r="AH33" i="1"/>
  <c r="AL32" i="1"/>
  <c r="AK32" i="1"/>
  <c r="AJ32" i="1"/>
  <c r="AI32" i="1"/>
  <c r="AH32" i="1"/>
  <c r="AL31" i="1"/>
  <c r="AK31" i="1"/>
  <c r="AJ31" i="1"/>
  <c r="AI31" i="1"/>
  <c r="AH31" i="1"/>
  <c r="AL30" i="1"/>
  <c r="AK30" i="1"/>
  <c r="AJ30" i="1"/>
  <c r="AI30" i="1"/>
  <c r="AH30" i="1"/>
  <c r="AL29" i="1"/>
  <c r="AK29" i="1"/>
  <c r="AJ29" i="1"/>
  <c r="AI29" i="1"/>
  <c r="AH29" i="1"/>
  <c r="AL28" i="1"/>
  <c r="AK28" i="1"/>
  <c r="AJ28" i="1"/>
  <c r="AI28" i="1"/>
  <c r="AH28" i="1"/>
  <c r="AL27" i="1"/>
  <c r="AK27" i="1"/>
  <c r="AJ27" i="1"/>
  <c r="AI27" i="1"/>
  <c r="AH27" i="1"/>
  <c r="AL26" i="1"/>
  <c r="AK26" i="1"/>
  <c r="AJ26" i="1"/>
  <c r="AI26" i="1"/>
  <c r="AH26" i="1"/>
  <c r="AL25" i="1"/>
  <c r="AK25" i="1"/>
  <c r="AJ25" i="1"/>
  <c r="AI25" i="1"/>
  <c r="AH25" i="1"/>
  <c r="AL24" i="1"/>
  <c r="AK24" i="1"/>
  <c r="AJ24" i="1"/>
  <c r="AI24" i="1"/>
  <c r="AH24" i="1"/>
  <c r="AL23" i="1"/>
  <c r="AK23" i="1"/>
  <c r="AJ23" i="1"/>
  <c r="AI23" i="1"/>
  <c r="AH23" i="1"/>
  <c r="AL22" i="1"/>
  <c r="AK22" i="1"/>
  <c r="AJ22" i="1"/>
  <c r="AI22" i="1"/>
  <c r="AH22" i="1"/>
  <c r="AL21" i="1"/>
  <c r="AK21" i="1"/>
  <c r="AJ21" i="1"/>
  <c r="AI21" i="1"/>
  <c r="AH21" i="1"/>
  <c r="AL20" i="1"/>
  <c r="AK20" i="1"/>
  <c r="AJ20" i="1"/>
  <c r="AI20" i="1"/>
  <c r="AH20" i="1"/>
  <c r="AL19" i="1"/>
  <c r="AK19" i="1"/>
  <c r="AJ19" i="1"/>
  <c r="AI19" i="1"/>
  <c r="AH19" i="1"/>
  <c r="AL18" i="1"/>
  <c r="AK18" i="1"/>
  <c r="AJ18" i="1"/>
  <c r="AI18" i="1"/>
  <c r="AH18" i="1"/>
  <c r="AL17" i="1"/>
  <c r="AK17" i="1"/>
  <c r="AJ17" i="1"/>
  <c r="AI17" i="1"/>
  <c r="AH17" i="1"/>
  <c r="AL16" i="1"/>
  <c r="AK16" i="1"/>
  <c r="AJ16" i="1"/>
  <c r="AI16" i="1"/>
  <c r="AH16" i="1"/>
  <c r="AL15" i="1"/>
  <c r="AK15" i="1"/>
  <c r="AJ15" i="1"/>
  <c r="AI15" i="1"/>
  <c r="AH15" i="1"/>
  <c r="AL14" i="1"/>
  <c r="AK14" i="1"/>
  <c r="AJ14" i="1"/>
  <c r="AI14" i="1"/>
  <c r="AH14" i="1"/>
  <c r="AL13" i="1"/>
  <c r="AK13" i="1"/>
  <c r="AJ13" i="1"/>
  <c r="AI13" i="1"/>
  <c r="AH13" i="1"/>
  <c r="AL12" i="1"/>
  <c r="AK12" i="1"/>
  <c r="AJ12" i="1"/>
  <c r="AI12" i="1"/>
  <c r="AH12" i="1"/>
  <c r="AL11" i="1"/>
  <c r="AK11" i="1"/>
  <c r="AJ11" i="1"/>
  <c r="AI11" i="1"/>
  <c r="AH11" i="1"/>
  <c r="AL10" i="1"/>
  <c r="AK10" i="1"/>
  <c r="AJ10" i="1"/>
  <c r="AI10" i="1"/>
  <c r="AH10" i="1"/>
  <c r="AL9" i="1"/>
  <c r="AK9" i="1"/>
  <c r="AJ9" i="1"/>
  <c r="AI9" i="1"/>
  <c r="AH9" i="1"/>
  <c r="AL8" i="1"/>
  <c r="AK8" i="1"/>
  <c r="AJ8" i="1"/>
  <c r="AI8" i="1"/>
  <c r="AH8" i="1"/>
  <c r="AL7" i="1"/>
  <c r="AK7" i="1"/>
  <c r="AJ7" i="1"/>
  <c r="AI7" i="1"/>
  <c r="AH7" i="1"/>
  <c r="AL6" i="1"/>
  <c r="AK6" i="1"/>
  <c r="AJ6" i="1"/>
  <c r="AI6" i="1"/>
  <c r="AH6" i="1"/>
  <c r="AL5" i="1"/>
  <c r="AK5" i="1"/>
  <c r="AJ5" i="1"/>
  <c r="AI5" i="1"/>
  <c r="AH5" i="1"/>
  <c r="AL4" i="1"/>
  <c r="AK4" i="1"/>
  <c r="AJ4" i="1"/>
  <c r="AI4" i="1"/>
  <c r="AH4" i="1"/>
  <c r="AL3" i="1"/>
  <c r="AK3" i="1"/>
  <c r="AJ3" i="1"/>
  <c r="AI3" i="1"/>
  <c r="AH3" i="1"/>
  <c r="AL2" i="1"/>
  <c r="AK2" i="1"/>
  <c r="AJ2" i="1"/>
  <c r="AI2" i="1"/>
  <c r="AH2" i="1"/>
</calcChain>
</file>

<file path=xl/sharedStrings.xml><?xml version="1.0" encoding="utf-8"?>
<sst xmlns="http://schemas.openxmlformats.org/spreadsheetml/2006/main" count="160" uniqueCount="46">
  <si>
    <t>ID</t>
  </si>
  <si>
    <t>Group</t>
  </si>
  <si>
    <t>Rol</t>
  </si>
  <si>
    <t>Team Member</t>
  </si>
  <si>
    <t>Gender</t>
  </si>
  <si>
    <t>First Speaker Activity A (0 No - 1 Si)</t>
  </si>
  <si>
    <t>Speaking Time Activity A</t>
  </si>
  <si>
    <t>First Speaker Activity B (0 No - 1 Si)</t>
  </si>
  <si>
    <t>Speaking Time Activity B</t>
  </si>
  <si>
    <t>Total Visual Attention Received from the member Activity A TM1</t>
  </si>
  <si>
    <t>Total Visual Attention Received from the member Activity A TM2</t>
  </si>
  <si>
    <t>Total Visual Attention Received from the member Activity A TM3</t>
  </si>
  <si>
    <t>Total Visual Attention Received from the member Activity A TM4</t>
  </si>
  <si>
    <t>Total Visual Attention Received from the member Activity B TM1</t>
  </si>
  <si>
    <t>Total Visual Attention Received from the member Activity B TM2</t>
  </si>
  <si>
    <t>Total Visual Attention Received from the member Activity B TM3</t>
  </si>
  <si>
    <t>Total Visual Attention Received from the member Activity B TM4</t>
  </si>
  <si>
    <t>Visual attention when speaking received from the member Activity A TM1</t>
  </si>
  <si>
    <t>Visual attention when speaking received from the member Activity A TM2</t>
  </si>
  <si>
    <t>Visual attention when speaking received from the member Activity A TM3</t>
  </si>
  <si>
    <t>Visual attention when speaking received from the member Activity A TM4</t>
  </si>
  <si>
    <t>Visual attention when speaking received from the member Activity B TM1</t>
  </si>
  <si>
    <t>Visual attention when speaking received from the member Activity B TM2</t>
  </si>
  <si>
    <t>Visual attention when speaking received from the member Activity B TM3</t>
  </si>
  <si>
    <t>Visual attention when speaking received from the member Activity B TM4</t>
  </si>
  <si>
    <t>Visual attention when not speaking received from the member Activity A TM1</t>
  </si>
  <si>
    <t>Visual attention when not speaking received from the member Activity A TM2</t>
  </si>
  <si>
    <t>Visual attention when not speaking received from the member Activity A TM3</t>
  </si>
  <si>
    <t>Visual attention when not speaking received from the member Activity A TM4</t>
  </si>
  <si>
    <t>Visual attention when not speaking received from the member Activity B TM1</t>
  </si>
  <si>
    <t>Visual attention when not speaking received from the member Activity B TM2</t>
  </si>
  <si>
    <t>Visual attention when not speaking received from the member Activity B TM3</t>
  </si>
  <si>
    <t>Visual attention when not speaking received from the member Activity B TM4</t>
  </si>
  <si>
    <t>Persistencia</t>
  </si>
  <si>
    <t>M</t>
  </si>
  <si>
    <t>UI/UX</t>
  </si>
  <si>
    <t>Back end</t>
  </si>
  <si>
    <t>Front  end</t>
  </si>
  <si>
    <t>F</t>
  </si>
  <si>
    <t>Normaliced Nota Promedio (0-1)</t>
  </si>
  <si>
    <t>Normaliced en proyectos de software reales (0-1)</t>
  </si>
  <si>
    <t>Normaliced Experiencia con Planning Poker o Planning Game (0-1)</t>
  </si>
  <si>
    <t>Normaliced Experiencia en modelado conceptual de software (0-1)</t>
  </si>
  <si>
    <t>Normaliced Promedio total Desempeño percibido Sin Autoevaluación (0-1)</t>
  </si>
  <si>
    <t>Cursó ISF (0 No - 1 Si)</t>
  </si>
  <si>
    <t>Cursó FA (0 No - 1 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</si>
</sst>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CA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7" borderId="1" xfId="0" applyFont="1" applyFill="1" applyBorder="1"/>
  </cellXfs>
  <cellStyles count="2">
    <cellStyle name="Normal" xfId="0" builtinId="0"/>
    <cellStyle name="Normal 2" xfId="1" xr:uid="{99134290-B61D-48EC-BF8E-F2855ACCE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workbookViewId="0">
      <selection activeCell="R14" sqref="R14"/>
    </sheetView>
  </sheetViews>
  <sheetFormatPr baseColWidth="10" defaultColWidth="9.140625" defaultRowHeight="15" x14ac:dyDescent="0.25"/>
  <sheetData>
    <row r="1" spans="1:40" ht="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11" t="s">
        <v>39</v>
      </c>
      <c r="AI1" s="12" t="s">
        <v>40</v>
      </c>
      <c r="AJ1" s="12" t="s">
        <v>41</v>
      </c>
      <c r="AK1" s="12" t="s">
        <v>42</v>
      </c>
      <c r="AL1" s="11" t="s">
        <v>43</v>
      </c>
      <c r="AM1" s="13" t="s">
        <v>44</v>
      </c>
      <c r="AN1" s="13" t="s">
        <v>45</v>
      </c>
    </row>
    <row r="2" spans="1:40" x14ac:dyDescent="0.25">
      <c r="A2" s="6">
        <v>1</v>
      </c>
      <c r="B2" s="6">
        <v>1</v>
      </c>
      <c r="C2" s="6" t="s">
        <v>33</v>
      </c>
      <c r="D2" s="6">
        <v>1</v>
      </c>
      <c r="E2" s="6" t="s">
        <v>34</v>
      </c>
      <c r="F2">
        <v>0</v>
      </c>
      <c r="G2">
        <v>72</v>
      </c>
      <c r="H2">
        <v>0</v>
      </c>
      <c r="I2">
        <v>31</v>
      </c>
      <c r="J2" s="7">
        <v>0</v>
      </c>
      <c r="K2" s="7">
        <v>128.63</v>
      </c>
      <c r="L2" s="7">
        <v>227.26</v>
      </c>
      <c r="M2" s="7">
        <v>62.19</v>
      </c>
      <c r="N2">
        <v>0</v>
      </c>
      <c r="O2">
        <v>26.16</v>
      </c>
      <c r="P2">
        <v>237.81</v>
      </c>
      <c r="Q2">
        <v>55.89</v>
      </c>
      <c r="R2" s="8">
        <v>0</v>
      </c>
      <c r="S2" s="8">
        <v>52.67</v>
      </c>
      <c r="T2" s="8">
        <v>45.21</v>
      </c>
      <c r="U2" s="8">
        <v>25.62</v>
      </c>
      <c r="V2">
        <v>0</v>
      </c>
      <c r="W2">
        <v>4.25</v>
      </c>
      <c r="X2">
        <v>20.21</v>
      </c>
      <c r="Y2">
        <v>17.399999999999999</v>
      </c>
      <c r="Z2" s="9">
        <v>0</v>
      </c>
      <c r="AA2" s="9">
        <v>75.959999999999994</v>
      </c>
      <c r="AB2" s="9">
        <v>182.05</v>
      </c>
      <c r="AC2" s="9">
        <v>36.58</v>
      </c>
      <c r="AD2">
        <v>0</v>
      </c>
      <c r="AE2">
        <v>21.92</v>
      </c>
      <c r="AF2">
        <v>217.6</v>
      </c>
      <c r="AG2">
        <v>38.49</v>
      </c>
      <c r="AH2" s="14">
        <f>(AC2 - 1)/(7-1)</f>
        <v>5.93</v>
      </c>
      <c r="AI2" s="15">
        <f>(AD2-1)/(5-1)</f>
        <v>-0.25</v>
      </c>
      <c r="AJ2" s="15">
        <f>(AE2-1)/(5-1)</f>
        <v>5.23</v>
      </c>
      <c r="AK2" s="15">
        <f>(AF2-1)/(3-1)</f>
        <v>108.3</v>
      </c>
      <c r="AL2" s="15">
        <f>(AG2-1)/(5-1)</f>
        <v>9.3725000000000005</v>
      </c>
      <c r="AM2" s="16">
        <v>1</v>
      </c>
      <c r="AN2" s="16">
        <v>1</v>
      </c>
    </row>
    <row r="3" spans="1:40" x14ac:dyDescent="0.25">
      <c r="A3" s="6">
        <v>2</v>
      </c>
      <c r="B3" s="6">
        <v>1</v>
      </c>
      <c r="C3" s="6" t="s">
        <v>35</v>
      </c>
      <c r="D3" s="6">
        <v>2</v>
      </c>
      <c r="E3" s="6" t="s">
        <v>34</v>
      </c>
      <c r="F3">
        <v>1</v>
      </c>
      <c r="G3">
        <v>290</v>
      </c>
      <c r="H3">
        <v>1</v>
      </c>
      <c r="I3">
        <v>214</v>
      </c>
      <c r="J3" s="7">
        <v>250.55</v>
      </c>
      <c r="K3" s="7">
        <v>0</v>
      </c>
      <c r="L3" s="7">
        <v>57.05</v>
      </c>
      <c r="M3" s="7">
        <v>268.56</v>
      </c>
      <c r="N3">
        <v>268.29000000000002</v>
      </c>
      <c r="O3">
        <v>0</v>
      </c>
      <c r="P3">
        <v>159.72999999999999</v>
      </c>
      <c r="Q3">
        <v>348.42</v>
      </c>
      <c r="R3" s="8">
        <v>151.78</v>
      </c>
      <c r="S3" s="8">
        <v>0</v>
      </c>
      <c r="T3" s="8">
        <v>38.01</v>
      </c>
      <c r="U3" s="8">
        <v>174.52</v>
      </c>
      <c r="V3">
        <v>169.86</v>
      </c>
      <c r="W3">
        <v>0</v>
      </c>
      <c r="X3">
        <v>78.900000000000006</v>
      </c>
      <c r="Y3">
        <v>190.82</v>
      </c>
      <c r="Z3" s="9">
        <v>98.77</v>
      </c>
      <c r="AA3" s="9">
        <v>0</v>
      </c>
      <c r="AB3" s="9">
        <v>19.04</v>
      </c>
      <c r="AC3" s="9">
        <v>94.04</v>
      </c>
      <c r="AD3">
        <v>98.42</v>
      </c>
      <c r="AE3">
        <v>0</v>
      </c>
      <c r="AF3">
        <v>80.819999999999993</v>
      </c>
      <c r="AG3">
        <v>157.6</v>
      </c>
      <c r="AH3" s="14">
        <f t="shared" ref="AH3:AH49" si="0">(AC3 - 1)/(7-1)</f>
        <v>15.506666666666668</v>
      </c>
      <c r="AI3" s="15">
        <f t="shared" ref="AI3:AJ49" si="1">(AD3-1)/(5-1)</f>
        <v>24.355</v>
      </c>
      <c r="AJ3" s="15">
        <f t="shared" si="1"/>
        <v>-0.25</v>
      </c>
      <c r="AK3" s="15">
        <f t="shared" ref="AK3:AK49" si="2">(AF3-1)/(3-1)</f>
        <v>39.909999999999997</v>
      </c>
      <c r="AL3" s="15">
        <f t="shared" ref="AL3:AL49" si="3">(AG3-1)/(5-1)</f>
        <v>39.15</v>
      </c>
      <c r="AM3" s="16">
        <v>1</v>
      </c>
      <c r="AN3" s="16">
        <v>1</v>
      </c>
    </row>
    <row r="4" spans="1:40" x14ac:dyDescent="0.25">
      <c r="A4" s="6">
        <v>3</v>
      </c>
      <c r="B4" s="6">
        <v>1</v>
      </c>
      <c r="C4" s="6" t="s">
        <v>36</v>
      </c>
      <c r="D4" s="6">
        <v>3</v>
      </c>
      <c r="E4" s="6" t="s">
        <v>34</v>
      </c>
      <c r="F4">
        <v>0</v>
      </c>
      <c r="G4">
        <v>35</v>
      </c>
      <c r="H4">
        <v>0</v>
      </c>
      <c r="I4">
        <v>90</v>
      </c>
      <c r="J4" s="7">
        <v>140.82</v>
      </c>
      <c r="K4" s="7">
        <v>88.22</v>
      </c>
      <c r="L4" s="7">
        <v>0</v>
      </c>
      <c r="M4" s="7">
        <v>28.77</v>
      </c>
      <c r="N4">
        <v>152.33000000000001</v>
      </c>
      <c r="O4">
        <v>135.62</v>
      </c>
      <c r="P4">
        <v>0</v>
      </c>
      <c r="Q4">
        <v>79.790000000000006</v>
      </c>
      <c r="R4" s="8">
        <v>17.95</v>
      </c>
      <c r="S4" s="8">
        <v>25.34</v>
      </c>
      <c r="T4" s="8">
        <v>0</v>
      </c>
      <c r="U4" s="8">
        <v>7.95</v>
      </c>
      <c r="V4">
        <v>68.36</v>
      </c>
      <c r="W4">
        <v>65.62</v>
      </c>
      <c r="X4">
        <v>0</v>
      </c>
      <c r="Y4">
        <v>62.53</v>
      </c>
      <c r="Z4" s="9">
        <v>122.88</v>
      </c>
      <c r="AA4" s="9">
        <v>62.88</v>
      </c>
      <c r="AB4" s="9">
        <v>0</v>
      </c>
      <c r="AC4" s="9">
        <v>20.82</v>
      </c>
      <c r="AD4">
        <v>83.97</v>
      </c>
      <c r="AE4">
        <v>70</v>
      </c>
      <c r="AF4">
        <v>0</v>
      </c>
      <c r="AG4">
        <v>17.260000000000002</v>
      </c>
      <c r="AH4" s="14">
        <f t="shared" si="0"/>
        <v>3.3033333333333332</v>
      </c>
      <c r="AI4" s="15">
        <f t="shared" si="1"/>
        <v>20.7425</v>
      </c>
      <c r="AJ4" s="15">
        <f t="shared" si="1"/>
        <v>17.25</v>
      </c>
      <c r="AK4" s="15">
        <f t="shared" si="2"/>
        <v>-0.5</v>
      </c>
      <c r="AL4" s="15">
        <f t="shared" si="3"/>
        <v>4.0650000000000004</v>
      </c>
      <c r="AM4" s="16">
        <v>1</v>
      </c>
      <c r="AN4" s="16">
        <v>1</v>
      </c>
    </row>
    <row r="5" spans="1:40" x14ac:dyDescent="0.25">
      <c r="A5" s="6">
        <v>4</v>
      </c>
      <c r="B5" s="6">
        <v>1</v>
      </c>
      <c r="C5" s="6" t="s">
        <v>37</v>
      </c>
      <c r="D5" s="6">
        <v>4</v>
      </c>
      <c r="E5" s="6" t="s">
        <v>38</v>
      </c>
      <c r="F5">
        <v>0</v>
      </c>
      <c r="G5">
        <v>34</v>
      </c>
      <c r="H5">
        <v>0</v>
      </c>
      <c r="I5">
        <v>58</v>
      </c>
      <c r="J5" s="7">
        <v>2.2599999999999998</v>
      </c>
      <c r="K5" s="7">
        <v>271.02999999999997</v>
      </c>
      <c r="L5" s="7">
        <v>65.55</v>
      </c>
      <c r="M5" s="7">
        <v>0</v>
      </c>
      <c r="N5">
        <v>50.41</v>
      </c>
      <c r="O5">
        <v>407.6</v>
      </c>
      <c r="P5">
        <v>56.1</v>
      </c>
      <c r="Q5">
        <v>0</v>
      </c>
      <c r="R5" s="8">
        <v>0.21</v>
      </c>
      <c r="S5" s="8">
        <v>23.15</v>
      </c>
      <c r="T5" s="8">
        <v>17.600000000000001</v>
      </c>
      <c r="U5" s="8">
        <v>0</v>
      </c>
      <c r="V5">
        <v>41.44</v>
      </c>
      <c r="W5">
        <v>48.77</v>
      </c>
      <c r="X5">
        <v>27.4</v>
      </c>
      <c r="Y5">
        <v>0</v>
      </c>
      <c r="Z5" s="9">
        <v>2.0499999999999998</v>
      </c>
      <c r="AA5" s="9">
        <v>247.88</v>
      </c>
      <c r="AB5" s="9">
        <v>47.95</v>
      </c>
      <c r="AC5" s="9">
        <v>0</v>
      </c>
      <c r="AD5">
        <v>8.9700000000000006</v>
      </c>
      <c r="AE5">
        <v>358.84</v>
      </c>
      <c r="AF5">
        <v>28.7</v>
      </c>
      <c r="AG5">
        <v>0</v>
      </c>
      <c r="AH5" s="14">
        <f t="shared" si="0"/>
        <v>-0.16666666666666666</v>
      </c>
      <c r="AI5" s="15">
        <f t="shared" si="1"/>
        <v>1.9925000000000002</v>
      </c>
      <c r="AJ5" s="15">
        <f t="shared" si="1"/>
        <v>89.46</v>
      </c>
      <c r="AK5" s="15">
        <f t="shared" si="2"/>
        <v>13.85</v>
      </c>
      <c r="AL5" s="15">
        <f t="shared" si="3"/>
        <v>-0.25</v>
      </c>
      <c r="AM5" s="16">
        <v>1</v>
      </c>
      <c r="AN5" s="16">
        <v>1</v>
      </c>
    </row>
    <row r="6" spans="1:40" x14ac:dyDescent="0.25">
      <c r="A6" s="6">
        <v>5</v>
      </c>
      <c r="B6" s="6">
        <v>2</v>
      </c>
      <c r="C6" s="6" t="s">
        <v>33</v>
      </c>
      <c r="D6" s="6">
        <v>1</v>
      </c>
      <c r="E6" s="6" t="s">
        <v>34</v>
      </c>
      <c r="F6">
        <v>0</v>
      </c>
      <c r="G6">
        <v>47</v>
      </c>
      <c r="H6">
        <v>0</v>
      </c>
      <c r="I6">
        <v>19</v>
      </c>
      <c r="J6" s="7">
        <v>0</v>
      </c>
      <c r="K6" s="7">
        <v>101.58</v>
      </c>
      <c r="L6" s="7">
        <v>392.95</v>
      </c>
      <c r="M6" s="7">
        <v>173.08</v>
      </c>
      <c r="N6">
        <v>0</v>
      </c>
      <c r="O6">
        <v>45.75</v>
      </c>
      <c r="P6">
        <v>375.14</v>
      </c>
      <c r="Q6">
        <v>180.27</v>
      </c>
      <c r="R6" s="8">
        <v>0</v>
      </c>
      <c r="S6" s="8">
        <v>25</v>
      </c>
      <c r="T6" s="8">
        <v>41.23</v>
      </c>
      <c r="U6" s="8">
        <v>29.93</v>
      </c>
      <c r="V6">
        <v>0</v>
      </c>
      <c r="W6">
        <v>8.15</v>
      </c>
      <c r="X6">
        <v>19.18</v>
      </c>
      <c r="Y6">
        <v>9.66</v>
      </c>
      <c r="Z6" s="9">
        <v>0</v>
      </c>
      <c r="AA6" s="9">
        <v>76.58</v>
      </c>
      <c r="AB6" s="9">
        <v>351.71</v>
      </c>
      <c r="AC6" s="9">
        <v>143.15</v>
      </c>
      <c r="AD6">
        <v>0</v>
      </c>
      <c r="AE6">
        <v>37.6</v>
      </c>
      <c r="AF6">
        <v>355.96</v>
      </c>
      <c r="AG6">
        <v>170.62</v>
      </c>
      <c r="AH6" s="14">
        <f t="shared" si="0"/>
        <v>23.691666666666666</v>
      </c>
      <c r="AI6" s="15">
        <f t="shared" si="1"/>
        <v>-0.25</v>
      </c>
      <c r="AJ6" s="15">
        <f t="shared" si="1"/>
        <v>9.15</v>
      </c>
      <c r="AK6" s="15">
        <f t="shared" si="2"/>
        <v>177.48</v>
      </c>
      <c r="AL6" s="15">
        <f t="shared" si="3"/>
        <v>42.405000000000001</v>
      </c>
      <c r="AM6" s="16">
        <v>1</v>
      </c>
      <c r="AN6" s="16">
        <v>1</v>
      </c>
    </row>
    <row r="7" spans="1:40" x14ac:dyDescent="0.25">
      <c r="A7" s="6">
        <v>6</v>
      </c>
      <c r="B7" s="6">
        <v>2</v>
      </c>
      <c r="C7" s="6" t="s">
        <v>35</v>
      </c>
      <c r="D7" s="6">
        <v>2</v>
      </c>
      <c r="E7" s="6" t="s">
        <v>34</v>
      </c>
      <c r="F7">
        <v>0</v>
      </c>
      <c r="G7">
        <v>82</v>
      </c>
      <c r="H7">
        <v>0</v>
      </c>
      <c r="I7">
        <v>45</v>
      </c>
      <c r="J7" s="7">
        <v>25.89</v>
      </c>
      <c r="K7" s="7">
        <v>0</v>
      </c>
      <c r="L7" s="7">
        <v>22.95</v>
      </c>
      <c r="M7" s="7">
        <v>317.39999999999998</v>
      </c>
      <c r="N7">
        <v>24.93</v>
      </c>
      <c r="O7">
        <v>0</v>
      </c>
      <c r="P7">
        <v>30.55</v>
      </c>
      <c r="Q7">
        <v>221.23</v>
      </c>
      <c r="R7" s="8">
        <v>10.34</v>
      </c>
      <c r="S7" s="8">
        <v>0</v>
      </c>
      <c r="T7" s="8">
        <v>10.68</v>
      </c>
      <c r="U7" s="8">
        <v>51.92</v>
      </c>
      <c r="V7">
        <v>2.88</v>
      </c>
      <c r="W7">
        <v>0</v>
      </c>
      <c r="X7">
        <v>15.96</v>
      </c>
      <c r="Y7">
        <v>31.92</v>
      </c>
      <c r="Z7" s="9">
        <v>15.55</v>
      </c>
      <c r="AA7" s="9">
        <v>0</v>
      </c>
      <c r="AB7" s="9">
        <v>12.26</v>
      </c>
      <c r="AC7" s="9">
        <v>265.48</v>
      </c>
      <c r="AD7">
        <v>22.05</v>
      </c>
      <c r="AE7">
        <v>0</v>
      </c>
      <c r="AF7">
        <v>14.59</v>
      </c>
      <c r="AG7">
        <v>189.32</v>
      </c>
      <c r="AH7" s="14">
        <f t="shared" si="0"/>
        <v>44.080000000000005</v>
      </c>
      <c r="AI7" s="15">
        <f t="shared" si="1"/>
        <v>5.2625000000000002</v>
      </c>
      <c r="AJ7" s="15">
        <f t="shared" si="1"/>
        <v>-0.25</v>
      </c>
      <c r="AK7" s="15">
        <f t="shared" si="2"/>
        <v>6.7949999999999999</v>
      </c>
      <c r="AL7" s="15">
        <f t="shared" si="3"/>
        <v>47.08</v>
      </c>
      <c r="AM7" s="16">
        <v>1</v>
      </c>
      <c r="AN7" s="16">
        <v>1</v>
      </c>
    </row>
    <row r="8" spans="1:40" x14ac:dyDescent="0.25">
      <c r="A8" s="6">
        <v>7</v>
      </c>
      <c r="B8" s="6">
        <v>2</v>
      </c>
      <c r="C8" s="6" t="s">
        <v>36</v>
      </c>
      <c r="D8" s="6">
        <v>3</v>
      </c>
      <c r="E8" s="6" t="s">
        <v>34</v>
      </c>
      <c r="F8">
        <v>0</v>
      </c>
      <c r="G8">
        <v>156</v>
      </c>
      <c r="H8">
        <v>0</v>
      </c>
      <c r="I8">
        <v>116</v>
      </c>
      <c r="J8" s="7">
        <v>577.6</v>
      </c>
      <c r="K8" s="7">
        <v>173.22</v>
      </c>
      <c r="L8" s="7">
        <v>0</v>
      </c>
      <c r="M8" s="7">
        <v>105.96</v>
      </c>
      <c r="N8">
        <v>434.04</v>
      </c>
      <c r="O8">
        <v>151.03</v>
      </c>
      <c r="P8">
        <v>0</v>
      </c>
      <c r="Q8">
        <v>124.86</v>
      </c>
      <c r="R8" s="8">
        <v>153.36000000000001</v>
      </c>
      <c r="S8" s="8">
        <v>93.56</v>
      </c>
      <c r="T8" s="8">
        <v>0</v>
      </c>
      <c r="U8" s="8">
        <v>39.32</v>
      </c>
      <c r="V8">
        <v>64.930000000000007</v>
      </c>
      <c r="W8">
        <v>75.069999999999993</v>
      </c>
      <c r="X8">
        <v>0</v>
      </c>
      <c r="Y8">
        <v>47.47</v>
      </c>
      <c r="Z8" s="9">
        <v>424.25</v>
      </c>
      <c r="AA8" s="9">
        <v>79.66</v>
      </c>
      <c r="AB8" s="9">
        <v>0</v>
      </c>
      <c r="AC8" s="9">
        <v>66.64</v>
      </c>
      <c r="AD8">
        <v>369.11</v>
      </c>
      <c r="AE8">
        <v>75.959999999999994</v>
      </c>
      <c r="AF8">
        <v>0</v>
      </c>
      <c r="AG8">
        <v>77.400000000000006</v>
      </c>
      <c r="AH8" s="14">
        <f t="shared" si="0"/>
        <v>10.94</v>
      </c>
      <c r="AI8" s="15">
        <f t="shared" si="1"/>
        <v>92.027500000000003</v>
      </c>
      <c r="AJ8" s="15">
        <f t="shared" si="1"/>
        <v>18.739999999999998</v>
      </c>
      <c r="AK8" s="15">
        <f t="shared" si="2"/>
        <v>-0.5</v>
      </c>
      <c r="AL8" s="15">
        <f t="shared" si="3"/>
        <v>19.100000000000001</v>
      </c>
      <c r="AM8" s="16">
        <v>1</v>
      </c>
      <c r="AN8" s="16">
        <v>1</v>
      </c>
    </row>
    <row r="9" spans="1:40" x14ac:dyDescent="0.25">
      <c r="A9" s="6">
        <v>8</v>
      </c>
      <c r="B9" s="6">
        <v>2</v>
      </c>
      <c r="C9" s="6" t="s">
        <v>37</v>
      </c>
      <c r="D9" s="6">
        <v>4</v>
      </c>
      <c r="E9" s="6" t="s">
        <v>34</v>
      </c>
      <c r="F9">
        <v>1</v>
      </c>
      <c r="G9">
        <v>176</v>
      </c>
      <c r="H9">
        <v>1</v>
      </c>
      <c r="I9">
        <v>183</v>
      </c>
      <c r="J9" s="7">
        <v>2.5299999999999998</v>
      </c>
      <c r="K9" s="7">
        <v>301.37</v>
      </c>
      <c r="L9" s="7">
        <v>184.73</v>
      </c>
      <c r="M9" s="7">
        <v>0</v>
      </c>
      <c r="N9" s="10">
        <v>12.95</v>
      </c>
      <c r="O9">
        <v>287.12</v>
      </c>
      <c r="P9">
        <v>116.1</v>
      </c>
      <c r="Q9">
        <v>0</v>
      </c>
      <c r="R9" s="8">
        <v>2.0499999999999998</v>
      </c>
      <c r="S9" s="8">
        <v>124.73</v>
      </c>
      <c r="T9" s="8">
        <v>73.42</v>
      </c>
      <c r="U9" s="8">
        <v>0</v>
      </c>
      <c r="V9">
        <v>4.8600000000000003</v>
      </c>
      <c r="W9">
        <v>105.62</v>
      </c>
      <c r="X9">
        <v>36.159999999999997</v>
      </c>
      <c r="Y9">
        <v>0</v>
      </c>
      <c r="Z9" s="9">
        <v>0.48</v>
      </c>
      <c r="AA9" s="9">
        <v>176.64</v>
      </c>
      <c r="AB9" s="9">
        <v>111.3</v>
      </c>
      <c r="AC9" s="9">
        <v>0</v>
      </c>
      <c r="AD9">
        <v>8.08</v>
      </c>
      <c r="AE9">
        <v>181.51</v>
      </c>
      <c r="AF9">
        <v>79.930000000000007</v>
      </c>
      <c r="AG9">
        <v>0</v>
      </c>
      <c r="AH9" s="14">
        <f t="shared" si="0"/>
        <v>-0.16666666666666666</v>
      </c>
      <c r="AI9" s="15">
        <f t="shared" si="1"/>
        <v>1.77</v>
      </c>
      <c r="AJ9" s="15">
        <f t="shared" si="1"/>
        <v>45.127499999999998</v>
      </c>
      <c r="AK9" s="15">
        <f t="shared" si="2"/>
        <v>39.465000000000003</v>
      </c>
      <c r="AL9" s="15">
        <f t="shared" si="3"/>
        <v>-0.25</v>
      </c>
      <c r="AM9" s="16">
        <v>0</v>
      </c>
      <c r="AN9" s="16">
        <v>0</v>
      </c>
    </row>
    <row r="10" spans="1:40" x14ac:dyDescent="0.25">
      <c r="A10" s="6">
        <v>13</v>
      </c>
      <c r="B10" s="6">
        <v>4</v>
      </c>
      <c r="C10" s="6" t="s">
        <v>33</v>
      </c>
      <c r="D10" s="6">
        <v>1</v>
      </c>
      <c r="E10" s="6" t="s">
        <v>34</v>
      </c>
      <c r="F10">
        <v>0</v>
      </c>
      <c r="G10">
        <v>237</v>
      </c>
      <c r="H10">
        <v>0</v>
      </c>
      <c r="I10">
        <v>88</v>
      </c>
      <c r="J10" s="7">
        <v>0</v>
      </c>
      <c r="K10" s="7">
        <v>1.23</v>
      </c>
      <c r="L10" s="7">
        <v>226.44</v>
      </c>
      <c r="M10" s="7">
        <v>45.96</v>
      </c>
      <c r="N10">
        <v>0</v>
      </c>
      <c r="O10">
        <v>24.32</v>
      </c>
      <c r="P10">
        <v>143.77000000000001</v>
      </c>
      <c r="Q10">
        <v>61.1</v>
      </c>
      <c r="R10" s="8">
        <v>0</v>
      </c>
      <c r="S10" s="8">
        <v>0.55000000000000004</v>
      </c>
      <c r="T10" s="8">
        <v>125.34</v>
      </c>
      <c r="U10" s="8">
        <v>24.93</v>
      </c>
      <c r="V10">
        <v>0</v>
      </c>
      <c r="W10">
        <v>12.47</v>
      </c>
      <c r="X10">
        <v>63.77</v>
      </c>
      <c r="Y10">
        <v>39.520000000000003</v>
      </c>
      <c r="Z10" s="9">
        <v>0</v>
      </c>
      <c r="AA10" s="9">
        <v>0.68</v>
      </c>
      <c r="AB10" s="9">
        <v>101.1</v>
      </c>
      <c r="AC10" s="9">
        <v>21.03</v>
      </c>
      <c r="AD10">
        <v>0</v>
      </c>
      <c r="AE10">
        <v>11.85</v>
      </c>
      <c r="AF10">
        <v>80</v>
      </c>
      <c r="AG10">
        <v>21.58</v>
      </c>
      <c r="AH10" s="14">
        <f t="shared" si="0"/>
        <v>3.3383333333333334</v>
      </c>
      <c r="AI10" s="15">
        <f t="shared" si="1"/>
        <v>-0.25</v>
      </c>
      <c r="AJ10" s="15">
        <f t="shared" si="1"/>
        <v>2.7124999999999999</v>
      </c>
      <c r="AK10" s="15">
        <f t="shared" si="2"/>
        <v>39.5</v>
      </c>
      <c r="AL10" s="15">
        <f t="shared" si="3"/>
        <v>5.1449999999999996</v>
      </c>
      <c r="AM10" s="16">
        <v>1</v>
      </c>
      <c r="AN10" s="16">
        <v>1</v>
      </c>
    </row>
    <row r="11" spans="1:40" x14ac:dyDescent="0.25">
      <c r="A11" s="6">
        <v>14</v>
      </c>
      <c r="B11" s="6">
        <v>4</v>
      </c>
      <c r="C11" s="6" t="s">
        <v>35</v>
      </c>
      <c r="D11" s="6">
        <v>2</v>
      </c>
      <c r="E11" s="6" t="s">
        <v>34</v>
      </c>
      <c r="F11">
        <v>0</v>
      </c>
      <c r="G11">
        <v>20</v>
      </c>
      <c r="H11">
        <v>0</v>
      </c>
      <c r="I11">
        <v>24</v>
      </c>
      <c r="J11" s="7">
        <v>44.73</v>
      </c>
      <c r="K11" s="7">
        <v>0</v>
      </c>
      <c r="L11" s="7">
        <v>35.340000000000003</v>
      </c>
      <c r="M11" s="7">
        <v>116.64</v>
      </c>
      <c r="N11">
        <v>21.51</v>
      </c>
      <c r="O11">
        <v>0</v>
      </c>
      <c r="P11">
        <v>10.27</v>
      </c>
      <c r="Q11">
        <v>64.25</v>
      </c>
      <c r="R11" s="8">
        <v>2.19</v>
      </c>
      <c r="S11" s="8">
        <v>0</v>
      </c>
      <c r="T11" s="8">
        <v>5.21</v>
      </c>
      <c r="U11" s="8">
        <v>8.9</v>
      </c>
      <c r="V11">
        <v>4.25</v>
      </c>
      <c r="W11">
        <v>0</v>
      </c>
      <c r="X11">
        <v>5.55</v>
      </c>
      <c r="Y11">
        <v>11.71</v>
      </c>
      <c r="Z11" s="9">
        <v>42.53</v>
      </c>
      <c r="AA11" s="9">
        <v>0</v>
      </c>
      <c r="AB11" s="9">
        <v>30.14</v>
      </c>
      <c r="AC11" s="9">
        <v>107.74</v>
      </c>
      <c r="AD11">
        <v>17.260000000000002</v>
      </c>
      <c r="AE11">
        <v>0</v>
      </c>
      <c r="AF11">
        <v>4.7300000000000004</v>
      </c>
      <c r="AG11">
        <v>52.53</v>
      </c>
      <c r="AH11" s="14">
        <f t="shared" si="0"/>
        <v>17.79</v>
      </c>
      <c r="AI11" s="15">
        <f t="shared" si="1"/>
        <v>4.0650000000000004</v>
      </c>
      <c r="AJ11" s="15">
        <f t="shared" si="1"/>
        <v>-0.25</v>
      </c>
      <c r="AK11" s="15">
        <f t="shared" si="2"/>
        <v>1.8650000000000002</v>
      </c>
      <c r="AL11" s="15">
        <f t="shared" si="3"/>
        <v>12.8825</v>
      </c>
      <c r="AM11" s="16">
        <v>1</v>
      </c>
      <c r="AN11" s="16">
        <v>1</v>
      </c>
    </row>
    <row r="12" spans="1:40" x14ac:dyDescent="0.25">
      <c r="A12" s="6">
        <v>15</v>
      </c>
      <c r="B12" s="6">
        <v>4</v>
      </c>
      <c r="C12" s="6" t="s">
        <v>36</v>
      </c>
      <c r="D12" s="6">
        <v>3</v>
      </c>
      <c r="E12" s="6" t="s">
        <v>34</v>
      </c>
      <c r="F12">
        <v>1</v>
      </c>
      <c r="G12">
        <v>111</v>
      </c>
      <c r="H12">
        <v>1</v>
      </c>
      <c r="I12">
        <v>59</v>
      </c>
      <c r="J12" s="7">
        <v>225.41</v>
      </c>
      <c r="K12" s="7">
        <v>148.9</v>
      </c>
      <c r="L12" s="7">
        <v>0</v>
      </c>
      <c r="M12" s="7">
        <v>61.71</v>
      </c>
      <c r="N12">
        <v>140.41</v>
      </c>
      <c r="O12">
        <v>63.49</v>
      </c>
      <c r="P12">
        <v>0</v>
      </c>
      <c r="Q12">
        <v>46.23</v>
      </c>
      <c r="R12" s="8">
        <v>47.05</v>
      </c>
      <c r="S12" s="8">
        <v>71.92</v>
      </c>
      <c r="T12" s="8">
        <v>0</v>
      </c>
      <c r="U12" s="8">
        <v>15</v>
      </c>
      <c r="V12">
        <v>35.82</v>
      </c>
      <c r="W12">
        <v>30.27</v>
      </c>
      <c r="X12">
        <v>0</v>
      </c>
      <c r="Y12">
        <v>31.78</v>
      </c>
      <c r="Z12" s="9">
        <v>178.36</v>
      </c>
      <c r="AA12" s="9">
        <v>76.989999999999995</v>
      </c>
      <c r="AB12" s="9">
        <v>0</v>
      </c>
      <c r="AC12" s="9">
        <v>46.71</v>
      </c>
      <c r="AD12">
        <v>104.59</v>
      </c>
      <c r="AE12">
        <v>33.22</v>
      </c>
      <c r="AF12">
        <v>0</v>
      </c>
      <c r="AG12">
        <v>14.45</v>
      </c>
      <c r="AH12" s="14">
        <f t="shared" si="0"/>
        <v>7.6183333333333332</v>
      </c>
      <c r="AI12" s="15">
        <f t="shared" si="1"/>
        <v>25.897500000000001</v>
      </c>
      <c r="AJ12" s="15">
        <f t="shared" si="1"/>
        <v>8.0549999999999997</v>
      </c>
      <c r="AK12" s="15">
        <f t="shared" si="2"/>
        <v>-0.5</v>
      </c>
      <c r="AL12" s="15">
        <f t="shared" si="3"/>
        <v>3.3624999999999998</v>
      </c>
      <c r="AM12" s="16">
        <v>1</v>
      </c>
      <c r="AN12" s="16">
        <v>1</v>
      </c>
    </row>
    <row r="13" spans="1:40" x14ac:dyDescent="0.25">
      <c r="A13" s="6">
        <v>16</v>
      </c>
      <c r="B13" s="6">
        <v>4</v>
      </c>
      <c r="C13" s="6" t="s">
        <v>37</v>
      </c>
      <c r="D13" s="6">
        <v>4</v>
      </c>
      <c r="E13" s="6" t="s">
        <v>34</v>
      </c>
      <c r="F13">
        <v>0</v>
      </c>
      <c r="G13">
        <v>116</v>
      </c>
      <c r="H13">
        <v>0</v>
      </c>
      <c r="I13">
        <v>41</v>
      </c>
      <c r="J13" s="7">
        <v>108.7</v>
      </c>
      <c r="K13" s="7">
        <v>425.89</v>
      </c>
      <c r="L13" s="7">
        <v>212.47</v>
      </c>
      <c r="M13" s="7">
        <v>0</v>
      </c>
      <c r="N13">
        <v>38.49</v>
      </c>
      <c r="O13">
        <v>163.63</v>
      </c>
      <c r="P13">
        <v>74.180000000000007</v>
      </c>
      <c r="Q13">
        <v>0</v>
      </c>
      <c r="R13" s="8">
        <v>39.32</v>
      </c>
      <c r="S13" s="8">
        <v>78.84</v>
      </c>
      <c r="T13" s="8">
        <v>77.400000000000006</v>
      </c>
      <c r="U13" s="8">
        <v>0</v>
      </c>
      <c r="V13">
        <v>8.01</v>
      </c>
      <c r="W13">
        <v>27.81</v>
      </c>
      <c r="X13">
        <v>32.049999999999997</v>
      </c>
      <c r="Y13">
        <v>0</v>
      </c>
      <c r="Z13" s="9">
        <v>69.38</v>
      </c>
      <c r="AA13" s="9">
        <v>347.05</v>
      </c>
      <c r="AB13" s="9">
        <v>135.07</v>
      </c>
      <c r="AC13" s="9">
        <v>0</v>
      </c>
      <c r="AD13">
        <v>30.48</v>
      </c>
      <c r="AE13">
        <v>135.82</v>
      </c>
      <c r="AF13">
        <v>42.12</v>
      </c>
      <c r="AG13">
        <v>0</v>
      </c>
      <c r="AH13" s="14">
        <f t="shared" si="0"/>
        <v>-0.16666666666666666</v>
      </c>
      <c r="AI13" s="15">
        <f t="shared" si="1"/>
        <v>7.37</v>
      </c>
      <c r="AJ13" s="15">
        <f t="shared" si="1"/>
        <v>33.704999999999998</v>
      </c>
      <c r="AK13" s="15">
        <f t="shared" si="2"/>
        <v>20.56</v>
      </c>
      <c r="AL13" s="15">
        <f t="shared" si="3"/>
        <v>-0.25</v>
      </c>
      <c r="AM13" s="16">
        <v>1</v>
      </c>
      <c r="AN13" s="16">
        <v>1</v>
      </c>
    </row>
    <row r="14" spans="1:40" x14ac:dyDescent="0.25">
      <c r="A14" s="6">
        <v>25</v>
      </c>
      <c r="B14" s="6">
        <v>7</v>
      </c>
      <c r="C14" s="6" t="s">
        <v>33</v>
      </c>
      <c r="D14" s="6">
        <v>1</v>
      </c>
      <c r="E14" s="6" t="s">
        <v>34</v>
      </c>
      <c r="F14">
        <v>0</v>
      </c>
      <c r="G14">
        <v>39</v>
      </c>
      <c r="H14">
        <v>0</v>
      </c>
      <c r="I14">
        <v>58</v>
      </c>
      <c r="J14" s="7">
        <v>0</v>
      </c>
      <c r="K14" s="7">
        <v>21.3</v>
      </c>
      <c r="L14" s="7">
        <v>221.03</v>
      </c>
      <c r="M14" s="7">
        <v>108.36</v>
      </c>
      <c r="N14">
        <v>0</v>
      </c>
      <c r="O14">
        <v>3.01</v>
      </c>
      <c r="P14">
        <v>246.03</v>
      </c>
      <c r="Q14">
        <v>51.51</v>
      </c>
      <c r="R14" s="17">
        <v>0</v>
      </c>
      <c r="S14" s="8">
        <v>0</v>
      </c>
      <c r="T14" s="8">
        <v>34.18</v>
      </c>
      <c r="U14" s="8">
        <v>28.01</v>
      </c>
      <c r="V14">
        <v>0</v>
      </c>
      <c r="W14">
        <v>0</v>
      </c>
      <c r="X14">
        <v>45.48</v>
      </c>
      <c r="Y14">
        <v>12.81</v>
      </c>
      <c r="Z14" s="9">
        <v>0</v>
      </c>
      <c r="AA14" s="9">
        <v>21.3</v>
      </c>
      <c r="AB14" s="9">
        <v>186.85</v>
      </c>
      <c r="AC14" s="9">
        <v>80.34</v>
      </c>
      <c r="AD14">
        <v>0</v>
      </c>
      <c r="AE14">
        <v>3.01</v>
      </c>
      <c r="AF14">
        <v>200.55</v>
      </c>
      <c r="AG14">
        <v>38.700000000000003</v>
      </c>
      <c r="AH14" s="14">
        <f t="shared" si="0"/>
        <v>13.223333333333334</v>
      </c>
      <c r="AI14" s="15">
        <f t="shared" si="1"/>
        <v>-0.25</v>
      </c>
      <c r="AJ14" s="15">
        <f t="shared" si="1"/>
        <v>0.50249999999999995</v>
      </c>
      <c r="AK14" s="15">
        <f t="shared" si="2"/>
        <v>99.775000000000006</v>
      </c>
      <c r="AL14" s="15">
        <f t="shared" si="3"/>
        <v>9.4250000000000007</v>
      </c>
      <c r="AM14" s="16">
        <v>1</v>
      </c>
      <c r="AN14" s="16">
        <v>1</v>
      </c>
    </row>
    <row r="15" spans="1:40" x14ac:dyDescent="0.25">
      <c r="A15" s="6">
        <v>26</v>
      </c>
      <c r="B15" s="6">
        <v>7</v>
      </c>
      <c r="C15" s="6" t="s">
        <v>35</v>
      </c>
      <c r="D15" s="6">
        <v>2</v>
      </c>
      <c r="E15" s="6" t="s">
        <v>38</v>
      </c>
      <c r="F15">
        <v>0</v>
      </c>
      <c r="G15">
        <v>15</v>
      </c>
      <c r="H15">
        <v>0</v>
      </c>
      <c r="I15">
        <v>27</v>
      </c>
      <c r="J15" s="7">
        <v>63.49</v>
      </c>
      <c r="K15" s="7">
        <v>0</v>
      </c>
      <c r="L15" s="7">
        <v>11.03</v>
      </c>
      <c r="M15" s="7">
        <v>98.49</v>
      </c>
      <c r="N15">
        <v>36.1</v>
      </c>
      <c r="O15">
        <v>0</v>
      </c>
      <c r="P15">
        <v>18.29</v>
      </c>
      <c r="Q15">
        <v>174.11</v>
      </c>
      <c r="R15" s="8">
        <v>5.34</v>
      </c>
      <c r="S15" s="8">
        <v>0</v>
      </c>
      <c r="T15" s="8">
        <v>4.66</v>
      </c>
      <c r="U15" s="8">
        <v>13.22</v>
      </c>
      <c r="V15">
        <v>13.08</v>
      </c>
      <c r="W15">
        <v>0</v>
      </c>
      <c r="X15">
        <v>10.41</v>
      </c>
      <c r="Y15">
        <v>27.47</v>
      </c>
      <c r="Z15" s="9">
        <v>58.15</v>
      </c>
      <c r="AA15" s="9">
        <v>0</v>
      </c>
      <c r="AB15" s="9">
        <v>6.37</v>
      </c>
      <c r="AC15" s="9">
        <v>85.27</v>
      </c>
      <c r="AD15">
        <v>23.01</v>
      </c>
      <c r="AE15">
        <v>0</v>
      </c>
      <c r="AF15">
        <v>7.88</v>
      </c>
      <c r="AG15">
        <v>146.63999999999999</v>
      </c>
      <c r="AH15" s="14">
        <f t="shared" si="0"/>
        <v>14.045</v>
      </c>
      <c r="AI15" s="15">
        <f t="shared" si="1"/>
        <v>5.5025000000000004</v>
      </c>
      <c r="AJ15" s="15">
        <f t="shared" si="1"/>
        <v>-0.25</v>
      </c>
      <c r="AK15" s="15">
        <f t="shared" si="2"/>
        <v>3.44</v>
      </c>
      <c r="AL15" s="15">
        <f t="shared" si="3"/>
        <v>36.409999999999997</v>
      </c>
      <c r="AM15" s="16">
        <v>1</v>
      </c>
      <c r="AN15" s="16">
        <v>1</v>
      </c>
    </row>
    <row r="16" spans="1:40" x14ac:dyDescent="0.25">
      <c r="A16" s="6">
        <v>27</v>
      </c>
      <c r="B16" s="6">
        <v>7</v>
      </c>
      <c r="C16" s="6" t="s">
        <v>36</v>
      </c>
      <c r="D16" s="6">
        <v>3</v>
      </c>
      <c r="E16" s="6" t="s">
        <v>38</v>
      </c>
      <c r="F16">
        <v>0</v>
      </c>
      <c r="G16">
        <v>30</v>
      </c>
      <c r="H16">
        <v>0</v>
      </c>
      <c r="I16">
        <v>31</v>
      </c>
      <c r="J16" s="7">
        <v>144.11000000000001</v>
      </c>
      <c r="K16" s="7">
        <v>20</v>
      </c>
      <c r="L16" s="7">
        <v>0</v>
      </c>
      <c r="M16" s="7">
        <v>58.08</v>
      </c>
      <c r="N16">
        <v>245.89</v>
      </c>
      <c r="O16">
        <v>74.45</v>
      </c>
      <c r="P16">
        <v>0</v>
      </c>
      <c r="Q16">
        <v>59.32</v>
      </c>
      <c r="R16" s="8">
        <v>19.04</v>
      </c>
      <c r="S16" s="8">
        <v>3.42</v>
      </c>
      <c r="T16" s="8">
        <v>0</v>
      </c>
      <c r="U16" s="8">
        <v>24.11</v>
      </c>
      <c r="V16">
        <v>28.49</v>
      </c>
      <c r="W16">
        <v>3.77</v>
      </c>
      <c r="X16">
        <v>0</v>
      </c>
      <c r="Y16">
        <v>24.52</v>
      </c>
      <c r="Z16" s="9">
        <v>125.07</v>
      </c>
      <c r="AA16" s="9">
        <v>16.579999999999998</v>
      </c>
      <c r="AB16" s="9">
        <v>0</v>
      </c>
      <c r="AC16" s="9">
        <v>33.97</v>
      </c>
      <c r="AD16">
        <v>217.4</v>
      </c>
      <c r="AE16">
        <v>70.680000000000007</v>
      </c>
      <c r="AF16">
        <v>0</v>
      </c>
      <c r="AG16">
        <v>34.79</v>
      </c>
      <c r="AH16" s="14">
        <f t="shared" si="0"/>
        <v>5.4950000000000001</v>
      </c>
      <c r="AI16" s="15">
        <f t="shared" si="1"/>
        <v>54.1</v>
      </c>
      <c r="AJ16" s="15">
        <f t="shared" si="1"/>
        <v>17.420000000000002</v>
      </c>
      <c r="AK16" s="15">
        <f t="shared" si="2"/>
        <v>-0.5</v>
      </c>
      <c r="AL16" s="15">
        <f t="shared" si="3"/>
        <v>8.4474999999999998</v>
      </c>
      <c r="AM16" s="16">
        <v>1</v>
      </c>
      <c r="AN16" s="16">
        <v>1</v>
      </c>
    </row>
    <row r="17" spans="1:40" x14ac:dyDescent="0.25">
      <c r="A17" s="6">
        <v>28</v>
      </c>
      <c r="B17" s="6">
        <v>7</v>
      </c>
      <c r="C17" s="6" t="s">
        <v>37</v>
      </c>
      <c r="D17" s="6">
        <v>4</v>
      </c>
      <c r="E17" s="6" t="s">
        <v>38</v>
      </c>
      <c r="F17">
        <v>1</v>
      </c>
      <c r="G17">
        <v>55</v>
      </c>
      <c r="H17">
        <v>1</v>
      </c>
      <c r="I17">
        <v>67</v>
      </c>
      <c r="J17" s="7">
        <v>79.86</v>
      </c>
      <c r="K17" s="7">
        <v>216.16</v>
      </c>
      <c r="L17" s="7">
        <v>34.450000000000003</v>
      </c>
      <c r="M17" s="7">
        <v>0</v>
      </c>
      <c r="N17">
        <v>30.41</v>
      </c>
      <c r="O17">
        <v>233.63</v>
      </c>
      <c r="P17">
        <v>15.14</v>
      </c>
      <c r="Q17">
        <v>0</v>
      </c>
      <c r="R17" s="8">
        <v>30.34</v>
      </c>
      <c r="S17" s="8">
        <v>44.25</v>
      </c>
      <c r="T17" s="8">
        <v>12.67</v>
      </c>
      <c r="U17" s="8">
        <v>0</v>
      </c>
      <c r="V17">
        <v>14.25</v>
      </c>
      <c r="W17">
        <v>47.05</v>
      </c>
      <c r="X17">
        <v>9.93</v>
      </c>
      <c r="Y17">
        <v>0</v>
      </c>
      <c r="Z17" s="9">
        <v>49.52</v>
      </c>
      <c r="AA17" s="9">
        <v>171.92</v>
      </c>
      <c r="AB17" s="9">
        <v>21.78</v>
      </c>
      <c r="AC17" s="9">
        <v>0</v>
      </c>
      <c r="AD17">
        <v>16.16</v>
      </c>
      <c r="AE17">
        <v>186.58</v>
      </c>
      <c r="AF17">
        <v>5.21</v>
      </c>
      <c r="AG17">
        <v>0</v>
      </c>
      <c r="AH17" s="14">
        <f t="shared" si="0"/>
        <v>-0.16666666666666666</v>
      </c>
      <c r="AI17" s="15">
        <f t="shared" si="1"/>
        <v>3.79</v>
      </c>
      <c r="AJ17" s="15">
        <f t="shared" si="1"/>
        <v>46.395000000000003</v>
      </c>
      <c r="AK17" s="15">
        <f t="shared" si="2"/>
        <v>2.105</v>
      </c>
      <c r="AL17" s="15">
        <f t="shared" si="3"/>
        <v>-0.25</v>
      </c>
      <c r="AM17" s="16">
        <v>1</v>
      </c>
      <c r="AN17" s="16">
        <v>1</v>
      </c>
    </row>
    <row r="18" spans="1:40" x14ac:dyDescent="0.25">
      <c r="A18" s="6">
        <v>29</v>
      </c>
      <c r="B18" s="6">
        <v>8</v>
      </c>
      <c r="C18" s="6" t="s">
        <v>33</v>
      </c>
      <c r="D18" s="6">
        <v>1</v>
      </c>
      <c r="E18" s="6" t="s">
        <v>34</v>
      </c>
      <c r="F18">
        <v>0</v>
      </c>
      <c r="G18">
        <v>49</v>
      </c>
      <c r="H18">
        <v>0</v>
      </c>
      <c r="I18">
        <v>74</v>
      </c>
      <c r="J18" s="7">
        <v>0</v>
      </c>
      <c r="K18" s="7">
        <v>42.05</v>
      </c>
      <c r="L18" s="7">
        <v>187.74</v>
      </c>
      <c r="M18" s="7">
        <v>19.79</v>
      </c>
      <c r="N18">
        <v>0</v>
      </c>
      <c r="O18">
        <v>55.68</v>
      </c>
      <c r="P18">
        <v>434.52</v>
      </c>
      <c r="Q18">
        <v>57.4</v>
      </c>
      <c r="R18" s="8">
        <v>0</v>
      </c>
      <c r="S18" s="8">
        <v>19.18</v>
      </c>
      <c r="T18" s="8">
        <v>46.1</v>
      </c>
      <c r="U18" s="8">
        <v>7.12</v>
      </c>
      <c r="V18">
        <v>0</v>
      </c>
      <c r="W18">
        <v>21.58</v>
      </c>
      <c r="X18">
        <v>70.62</v>
      </c>
      <c r="Y18">
        <v>32.19</v>
      </c>
      <c r="Z18" s="9">
        <v>0</v>
      </c>
      <c r="AA18" s="9">
        <v>22.88</v>
      </c>
      <c r="AB18" s="9">
        <v>141.63999999999999</v>
      </c>
      <c r="AC18" s="9">
        <v>12.67</v>
      </c>
      <c r="AD18">
        <v>0</v>
      </c>
      <c r="AE18">
        <v>34.11</v>
      </c>
      <c r="AF18">
        <v>363.9</v>
      </c>
      <c r="AG18">
        <v>25.21</v>
      </c>
      <c r="AH18" s="14">
        <f t="shared" si="0"/>
        <v>1.9450000000000001</v>
      </c>
      <c r="AI18" s="15">
        <f t="shared" si="1"/>
        <v>-0.25</v>
      </c>
      <c r="AJ18" s="15">
        <f t="shared" si="1"/>
        <v>8.2774999999999999</v>
      </c>
      <c r="AK18" s="15">
        <f t="shared" si="2"/>
        <v>181.45</v>
      </c>
      <c r="AL18" s="15">
        <f t="shared" si="3"/>
        <v>6.0525000000000002</v>
      </c>
      <c r="AM18" s="16">
        <v>1</v>
      </c>
      <c r="AN18" s="16">
        <v>1</v>
      </c>
    </row>
    <row r="19" spans="1:40" x14ac:dyDescent="0.25">
      <c r="A19" s="6">
        <v>30</v>
      </c>
      <c r="B19" s="6">
        <v>8</v>
      </c>
      <c r="C19" s="6" t="s">
        <v>35</v>
      </c>
      <c r="D19" s="6">
        <v>2</v>
      </c>
      <c r="E19" s="6" t="s">
        <v>34</v>
      </c>
      <c r="F19">
        <v>0</v>
      </c>
      <c r="G19">
        <v>10</v>
      </c>
      <c r="H19">
        <v>0</v>
      </c>
      <c r="I19">
        <v>51</v>
      </c>
      <c r="J19" s="7">
        <v>52.74</v>
      </c>
      <c r="K19" s="7">
        <v>0</v>
      </c>
      <c r="L19" s="7">
        <v>6.99</v>
      </c>
      <c r="M19" s="7">
        <v>80.069999999999993</v>
      </c>
      <c r="N19">
        <v>138.56</v>
      </c>
      <c r="O19">
        <v>0</v>
      </c>
      <c r="P19">
        <v>33.42</v>
      </c>
      <c r="Q19">
        <v>180.82</v>
      </c>
      <c r="R19" s="8">
        <v>6.99</v>
      </c>
      <c r="S19" s="8">
        <v>0</v>
      </c>
      <c r="T19" s="8">
        <v>3.15</v>
      </c>
      <c r="U19" s="8">
        <v>5.14</v>
      </c>
      <c r="V19">
        <v>17.399999999999999</v>
      </c>
      <c r="W19">
        <v>0</v>
      </c>
      <c r="X19">
        <v>16.920000000000002</v>
      </c>
      <c r="Y19">
        <v>38.15</v>
      </c>
      <c r="Z19" s="9">
        <v>45.75</v>
      </c>
      <c r="AA19" s="9">
        <v>0</v>
      </c>
      <c r="AB19" s="9">
        <v>3.84</v>
      </c>
      <c r="AC19" s="9">
        <v>74.930000000000007</v>
      </c>
      <c r="AD19">
        <v>121.16</v>
      </c>
      <c r="AE19">
        <v>0</v>
      </c>
      <c r="AF19">
        <v>16.510000000000002</v>
      </c>
      <c r="AG19">
        <v>142.66999999999999</v>
      </c>
      <c r="AH19" s="14">
        <f t="shared" si="0"/>
        <v>12.321666666666667</v>
      </c>
      <c r="AI19" s="15">
        <f t="shared" si="1"/>
        <v>30.04</v>
      </c>
      <c r="AJ19" s="15">
        <f t="shared" si="1"/>
        <v>-0.25</v>
      </c>
      <c r="AK19" s="15">
        <f t="shared" si="2"/>
        <v>7.7550000000000008</v>
      </c>
      <c r="AL19" s="15">
        <f t="shared" si="3"/>
        <v>35.417499999999997</v>
      </c>
      <c r="AM19" s="16">
        <v>1</v>
      </c>
      <c r="AN19" s="16">
        <v>1</v>
      </c>
    </row>
    <row r="20" spans="1:40" x14ac:dyDescent="0.25">
      <c r="A20" s="6">
        <v>31</v>
      </c>
      <c r="B20" s="6">
        <v>8</v>
      </c>
      <c r="C20" s="6" t="s">
        <v>36</v>
      </c>
      <c r="D20" s="6">
        <v>3</v>
      </c>
      <c r="E20" s="6" t="s">
        <v>34</v>
      </c>
      <c r="F20">
        <v>1</v>
      </c>
      <c r="G20">
        <v>93</v>
      </c>
      <c r="H20">
        <v>1</v>
      </c>
      <c r="I20">
        <v>163</v>
      </c>
      <c r="J20" s="7">
        <v>137.81</v>
      </c>
      <c r="K20" s="7">
        <v>20.34</v>
      </c>
      <c r="L20" s="7">
        <v>0</v>
      </c>
      <c r="M20" s="7">
        <v>34.32</v>
      </c>
      <c r="N20">
        <v>340.34</v>
      </c>
      <c r="O20">
        <v>102.81</v>
      </c>
      <c r="P20">
        <v>0</v>
      </c>
      <c r="Q20">
        <v>89.18</v>
      </c>
      <c r="R20" s="8">
        <v>64.59</v>
      </c>
      <c r="S20" s="8">
        <v>12.95</v>
      </c>
      <c r="T20" s="8">
        <v>0</v>
      </c>
      <c r="U20" s="8">
        <v>19.04</v>
      </c>
      <c r="V20">
        <v>121.71</v>
      </c>
      <c r="W20">
        <v>66.3</v>
      </c>
      <c r="X20">
        <v>0</v>
      </c>
      <c r="Y20">
        <v>56.23</v>
      </c>
      <c r="Z20" s="9">
        <v>73.22</v>
      </c>
      <c r="AA20" s="9">
        <v>7.4</v>
      </c>
      <c r="AB20" s="9">
        <v>0</v>
      </c>
      <c r="AC20" s="9">
        <v>15.27</v>
      </c>
      <c r="AD20">
        <v>218.63</v>
      </c>
      <c r="AE20">
        <v>36.51</v>
      </c>
      <c r="AF20">
        <v>0</v>
      </c>
      <c r="AG20">
        <v>32.950000000000003</v>
      </c>
      <c r="AH20" s="14">
        <f t="shared" si="0"/>
        <v>2.3783333333333334</v>
      </c>
      <c r="AI20" s="15">
        <f t="shared" si="1"/>
        <v>54.407499999999999</v>
      </c>
      <c r="AJ20" s="15">
        <f t="shared" si="1"/>
        <v>8.8774999999999995</v>
      </c>
      <c r="AK20" s="15">
        <f t="shared" si="2"/>
        <v>-0.5</v>
      </c>
      <c r="AL20" s="15">
        <f t="shared" si="3"/>
        <v>7.9875000000000007</v>
      </c>
      <c r="AM20" s="16">
        <v>1</v>
      </c>
      <c r="AN20" s="16">
        <v>1</v>
      </c>
    </row>
    <row r="21" spans="1:40" x14ac:dyDescent="0.25">
      <c r="A21" s="6">
        <v>32</v>
      </c>
      <c r="B21" s="6">
        <v>8</v>
      </c>
      <c r="C21" s="6" t="s">
        <v>37</v>
      </c>
      <c r="D21" s="6">
        <v>4</v>
      </c>
      <c r="E21" s="6" t="s">
        <v>34</v>
      </c>
      <c r="F21">
        <v>0</v>
      </c>
      <c r="G21">
        <v>19</v>
      </c>
      <c r="H21">
        <v>0</v>
      </c>
      <c r="I21">
        <v>24</v>
      </c>
      <c r="J21" s="7">
        <v>9.18</v>
      </c>
      <c r="K21" s="7">
        <v>93.29</v>
      </c>
      <c r="L21" s="7">
        <v>10.55</v>
      </c>
      <c r="M21" s="7">
        <v>0</v>
      </c>
      <c r="N21">
        <v>1.23</v>
      </c>
      <c r="O21">
        <v>256.85000000000002</v>
      </c>
      <c r="P21">
        <v>5.75</v>
      </c>
      <c r="Q21">
        <v>0</v>
      </c>
      <c r="R21" s="8">
        <v>4.93</v>
      </c>
      <c r="S21" s="8">
        <v>7.19</v>
      </c>
      <c r="T21" s="8">
        <v>7.26</v>
      </c>
      <c r="U21" s="8">
        <v>0</v>
      </c>
      <c r="V21">
        <v>0</v>
      </c>
      <c r="W21">
        <v>13.15</v>
      </c>
      <c r="X21">
        <v>0.75</v>
      </c>
      <c r="Y21">
        <v>0</v>
      </c>
      <c r="Z21" s="9">
        <v>4.25</v>
      </c>
      <c r="AA21" s="9">
        <v>86.1</v>
      </c>
      <c r="AB21" s="9">
        <v>3.29</v>
      </c>
      <c r="AC21" s="9">
        <v>0</v>
      </c>
      <c r="AD21">
        <v>1.23</v>
      </c>
      <c r="AE21">
        <v>243.7</v>
      </c>
      <c r="AF21">
        <v>5</v>
      </c>
      <c r="AG21">
        <v>0</v>
      </c>
      <c r="AH21" s="14">
        <f t="shared" si="0"/>
        <v>-0.16666666666666666</v>
      </c>
      <c r="AI21" s="15">
        <f t="shared" si="1"/>
        <v>5.7499999999999996E-2</v>
      </c>
      <c r="AJ21" s="15">
        <f t="shared" si="1"/>
        <v>60.674999999999997</v>
      </c>
      <c r="AK21" s="15">
        <f t="shared" si="2"/>
        <v>2</v>
      </c>
      <c r="AL21" s="15">
        <f t="shared" si="3"/>
        <v>-0.25</v>
      </c>
      <c r="AM21" s="16">
        <v>1</v>
      </c>
      <c r="AN21" s="16">
        <v>1</v>
      </c>
    </row>
    <row r="22" spans="1:40" x14ac:dyDescent="0.25">
      <c r="A22" s="6">
        <v>33</v>
      </c>
      <c r="B22" s="6">
        <v>9</v>
      </c>
      <c r="C22" s="6" t="s">
        <v>33</v>
      </c>
      <c r="D22" s="6">
        <v>1</v>
      </c>
      <c r="E22" s="6" t="s">
        <v>34</v>
      </c>
      <c r="F22">
        <v>0</v>
      </c>
      <c r="G22">
        <v>59</v>
      </c>
      <c r="H22">
        <v>1</v>
      </c>
      <c r="I22">
        <v>90</v>
      </c>
      <c r="J22" s="7">
        <v>0</v>
      </c>
      <c r="K22" s="7">
        <v>24.86</v>
      </c>
      <c r="L22" s="7">
        <v>81.099999999999994</v>
      </c>
      <c r="M22" s="7">
        <v>16.989999999999998</v>
      </c>
      <c r="N22">
        <v>0</v>
      </c>
      <c r="O22">
        <v>82.95</v>
      </c>
      <c r="P22">
        <v>266.70999999999998</v>
      </c>
      <c r="Q22">
        <v>44.38</v>
      </c>
      <c r="R22" s="8">
        <v>0</v>
      </c>
      <c r="S22" s="8">
        <v>9.25</v>
      </c>
      <c r="T22" s="8">
        <v>11.92</v>
      </c>
      <c r="U22" s="8">
        <v>11.37</v>
      </c>
      <c r="V22">
        <v>0</v>
      </c>
      <c r="W22">
        <v>17.12</v>
      </c>
      <c r="X22">
        <v>53.97</v>
      </c>
      <c r="Y22">
        <v>21.03</v>
      </c>
      <c r="Z22" s="9">
        <v>0</v>
      </c>
      <c r="AA22" s="9">
        <v>15.62</v>
      </c>
      <c r="AB22" s="9">
        <v>69.180000000000007</v>
      </c>
      <c r="AC22" s="9">
        <v>5.62</v>
      </c>
      <c r="AD22">
        <v>0</v>
      </c>
      <c r="AE22">
        <v>65.819999999999993</v>
      </c>
      <c r="AF22">
        <v>212.74</v>
      </c>
      <c r="AG22">
        <v>23.36</v>
      </c>
      <c r="AH22" s="14">
        <f t="shared" si="0"/>
        <v>0.77</v>
      </c>
      <c r="AI22" s="15">
        <f t="shared" si="1"/>
        <v>-0.25</v>
      </c>
      <c r="AJ22" s="15">
        <f t="shared" si="1"/>
        <v>16.204999999999998</v>
      </c>
      <c r="AK22" s="15">
        <f t="shared" si="2"/>
        <v>105.87</v>
      </c>
      <c r="AL22" s="15">
        <f t="shared" si="3"/>
        <v>5.59</v>
      </c>
      <c r="AM22" s="16">
        <v>1</v>
      </c>
      <c r="AN22" s="16">
        <v>0</v>
      </c>
    </row>
    <row r="23" spans="1:40" x14ac:dyDescent="0.25">
      <c r="A23" s="6">
        <v>34</v>
      </c>
      <c r="B23" s="6">
        <v>9</v>
      </c>
      <c r="C23" s="6" t="s">
        <v>35</v>
      </c>
      <c r="D23" s="6">
        <v>2</v>
      </c>
      <c r="E23" s="6" t="s">
        <v>34</v>
      </c>
      <c r="F23">
        <v>0</v>
      </c>
      <c r="G23">
        <v>69</v>
      </c>
      <c r="H23">
        <v>0</v>
      </c>
      <c r="I23">
        <v>125</v>
      </c>
      <c r="J23" s="7">
        <v>71.23</v>
      </c>
      <c r="K23" s="7">
        <v>0</v>
      </c>
      <c r="L23" s="7">
        <v>18.29</v>
      </c>
      <c r="M23" s="7">
        <v>252.6</v>
      </c>
      <c r="N23">
        <v>167.33</v>
      </c>
      <c r="O23">
        <v>0</v>
      </c>
      <c r="P23">
        <v>65.48</v>
      </c>
      <c r="Q23">
        <v>401.51</v>
      </c>
      <c r="R23" s="8">
        <v>34.520000000000003</v>
      </c>
      <c r="S23" s="8">
        <v>0</v>
      </c>
      <c r="T23" s="8">
        <v>10.55</v>
      </c>
      <c r="U23" s="8">
        <v>65.959999999999994</v>
      </c>
      <c r="V23">
        <v>66.64</v>
      </c>
      <c r="W23">
        <v>0</v>
      </c>
      <c r="X23">
        <v>17.53</v>
      </c>
      <c r="Y23">
        <v>89.86</v>
      </c>
      <c r="Z23" s="9">
        <v>36.71</v>
      </c>
      <c r="AA23" s="9">
        <v>0</v>
      </c>
      <c r="AB23" s="9">
        <v>7.74</v>
      </c>
      <c r="AC23" s="9">
        <v>186.64</v>
      </c>
      <c r="AD23">
        <v>100.68</v>
      </c>
      <c r="AE23">
        <v>0</v>
      </c>
      <c r="AF23">
        <v>47.95</v>
      </c>
      <c r="AG23">
        <v>311.64</v>
      </c>
      <c r="AH23" s="14">
        <f t="shared" si="0"/>
        <v>30.939999999999998</v>
      </c>
      <c r="AI23" s="15">
        <f t="shared" si="1"/>
        <v>24.92</v>
      </c>
      <c r="AJ23" s="15">
        <f t="shared" si="1"/>
        <v>-0.25</v>
      </c>
      <c r="AK23" s="15">
        <f t="shared" si="2"/>
        <v>23.475000000000001</v>
      </c>
      <c r="AL23" s="15">
        <f t="shared" si="3"/>
        <v>77.66</v>
      </c>
      <c r="AM23" s="16">
        <v>1</v>
      </c>
      <c r="AN23" s="16">
        <v>0</v>
      </c>
    </row>
    <row r="24" spans="1:40" x14ac:dyDescent="0.25">
      <c r="A24" s="6">
        <v>35</v>
      </c>
      <c r="B24" s="6">
        <v>9</v>
      </c>
      <c r="C24" s="6" t="s">
        <v>36</v>
      </c>
      <c r="D24" s="6">
        <v>3</v>
      </c>
      <c r="E24" s="6" t="s">
        <v>34</v>
      </c>
      <c r="F24">
        <v>1</v>
      </c>
      <c r="G24">
        <v>46</v>
      </c>
      <c r="H24">
        <v>0</v>
      </c>
      <c r="I24">
        <v>142</v>
      </c>
      <c r="J24" s="7">
        <v>136.63999999999999</v>
      </c>
      <c r="K24" s="7">
        <v>94.66</v>
      </c>
      <c r="L24" s="7">
        <v>0</v>
      </c>
      <c r="M24" s="7">
        <v>23.97</v>
      </c>
      <c r="N24">
        <v>292.60000000000002</v>
      </c>
      <c r="O24">
        <v>148.69999999999999</v>
      </c>
      <c r="P24">
        <v>0</v>
      </c>
      <c r="Q24">
        <v>90.21</v>
      </c>
      <c r="R24" s="8">
        <v>34.729999999999997</v>
      </c>
      <c r="S24" s="8">
        <v>17.95</v>
      </c>
      <c r="T24" s="8">
        <v>0</v>
      </c>
      <c r="U24" s="8">
        <v>2.5299999999999998</v>
      </c>
      <c r="V24">
        <v>77.400000000000006</v>
      </c>
      <c r="W24">
        <v>52.53</v>
      </c>
      <c r="X24">
        <v>0</v>
      </c>
      <c r="Y24">
        <v>25.82</v>
      </c>
      <c r="Z24" s="9">
        <v>101.92</v>
      </c>
      <c r="AA24" s="9">
        <v>76.709999999999994</v>
      </c>
      <c r="AB24" s="9">
        <v>0</v>
      </c>
      <c r="AC24" s="9">
        <v>21.44</v>
      </c>
      <c r="AD24">
        <v>215.21</v>
      </c>
      <c r="AE24">
        <v>96.16</v>
      </c>
      <c r="AF24">
        <v>0</v>
      </c>
      <c r="AG24">
        <v>64.38</v>
      </c>
      <c r="AH24" s="14">
        <f t="shared" si="0"/>
        <v>3.4066666666666667</v>
      </c>
      <c r="AI24" s="15">
        <f t="shared" si="1"/>
        <v>53.552500000000002</v>
      </c>
      <c r="AJ24" s="15">
        <f t="shared" si="1"/>
        <v>23.79</v>
      </c>
      <c r="AK24" s="15">
        <f t="shared" si="2"/>
        <v>-0.5</v>
      </c>
      <c r="AL24" s="15">
        <f t="shared" si="3"/>
        <v>15.844999999999999</v>
      </c>
      <c r="AM24" s="16">
        <v>1</v>
      </c>
      <c r="AN24" s="16">
        <v>0</v>
      </c>
    </row>
    <row r="25" spans="1:40" x14ac:dyDescent="0.25">
      <c r="A25" s="6">
        <v>36</v>
      </c>
      <c r="B25" s="6">
        <v>9</v>
      </c>
      <c r="C25" s="6" t="s">
        <v>37</v>
      </c>
      <c r="D25" s="6">
        <v>4</v>
      </c>
      <c r="E25" s="6" t="s">
        <v>34</v>
      </c>
      <c r="F25">
        <v>0</v>
      </c>
      <c r="G25">
        <v>57</v>
      </c>
      <c r="H25">
        <v>0</v>
      </c>
      <c r="I25">
        <v>93</v>
      </c>
      <c r="J25" s="7">
        <v>66.16</v>
      </c>
      <c r="K25" s="7">
        <v>83.01</v>
      </c>
      <c r="L25" s="7">
        <v>101.23</v>
      </c>
      <c r="M25" s="7">
        <v>0</v>
      </c>
      <c r="N25">
        <v>76.16</v>
      </c>
      <c r="O25">
        <v>242.88</v>
      </c>
      <c r="P25">
        <v>216.44</v>
      </c>
      <c r="Q25">
        <v>0</v>
      </c>
      <c r="R25" s="8">
        <v>34.93</v>
      </c>
      <c r="S25" s="8">
        <v>16.850000000000001</v>
      </c>
      <c r="T25" s="8">
        <v>36.03</v>
      </c>
      <c r="U25" s="8">
        <v>0</v>
      </c>
      <c r="V25">
        <v>41.64</v>
      </c>
      <c r="W25">
        <v>50</v>
      </c>
      <c r="X25">
        <v>63.15</v>
      </c>
      <c r="Y25">
        <v>0</v>
      </c>
      <c r="Z25" s="9">
        <v>31.23</v>
      </c>
      <c r="AA25" s="9">
        <v>66.16</v>
      </c>
      <c r="AB25" s="9">
        <v>65.209999999999994</v>
      </c>
      <c r="AC25" s="9">
        <v>0</v>
      </c>
      <c r="AD25">
        <v>34.520000000000003</v>
      </c>
      <c r="AE25">
        <v>192.88</v>
      </c>
      <c r="AF25">
        <v>153.29</v>
      </c>
      <c r="AG25">
        <v>0</v>
      </c>
      <c r="AH25" s="14">
        <f t="shared" si="0"/>
        <v>-0.16666666666666666</v>
      </c>
      <c r="AI25" s="15">
        <f t="shared" si="1"/>
        <v>8.3800000000000008</v>
      </c>
      <c r="AJ25" s="15">
        <f t="shared" si="1"/>
        <v>47.97</v>
      </c>
      <c r="AK25" s="15">
        <f t="shared" si="2"/>
        <v>76.144999999999996</v>
      </c>
      <c r="AL25" s="15">
        <f t="shared" si="3"/>
        <v>-0.25</v>
      </c>
      <c r="AM25" s="16">
        <v>1</v>
      </c>
      <c r="AN25" s="16">
        <v>0</v>
      </c>
    </row>
    <row r="26" spans="1:40" x14ac:dyDescent="0.25">
      <c r="A26" s="6">
        <v>37</v>
      </c>
      <c r="B26" s="6">
        <v>10</v>
      </c>
      <c r="C26" s="6" t="s">
        <v>33</v>
      </c>
      <c r="D26" s="6">
        <v>1</v>
      </c>
      <c r="E26" s="6" t="s">
        <v>34</v>
      </c>
      <c r="F26">
        <v>1</v>
      </c>
      <c r="G26">
        <v>231</v>
      </c>
      <c r="H26">
        <v>1</v>
      </c>
      <c r="I26">
        <v>211</v>
      </c>
      <c r="J26" s="7">
        <v>0</v>
      </c>
      <c r="K26" s="7">
        <v>118.15</v>
      </c>
      <c r="L26" s="7">
        <v>343.29</v>
      </c>
      <c r="M26" s="7">
        <v>118.15</v>
      </c>
      <c r="N26">
        <v>0</v>
      </c>
      <c r="O26">
        <v>119.18</v>
      </c>
      <c r="P26">
        <v>485.96</v>
      </c>
      <c r="Q26">
        <v>102.53</v>
      </c>
      <c r="R26" s="8">
        <v>0</v>
      </c>
      <c r="S26" s="8">
        <v>68.63</v>
      </c>
      <c r="T26" s="8">
        <v>131.99</v>
      </c>
      <c r="U26" s="8">
        <v>71.16</v>
      </c>
      <c r="V26">
        <v>0</v>
      </c>
      <c r="W26">
        <v>63.36</v>
      </c>
      <c r="X26">
        <v>177.4</v>
      </c>
      <c r="Y26">
        <v>27.26</v>
      </c>
      <c r="Z26" s="9">
        <v>0</v>
      </c>
      <c r="AA26" s="9">
        <v>49.52</v>
      </c>
      <c r="AB26" s="9">
        <v>211.3</v>
      </c>
      <c r="AC26" s="9">
        <v>46.99</v>
      </c>
      <c r="AD26">
        <v>0</v>
      </c>
      <c r="AE26">
        <v>55.82</v>
      </c>
      <c r="AF26">
        <v>308.56</v>
      </c>
      <c r="AG26">
        <v>75.27</v>
      </c>
      <c r="AH26" s="14">
        <f t="shared" si="0"/>
        <v>7.665</v>
      </c>
      <c r="AI26" s="15">
        <f t="shared" si="1"/>
        <v>-0.25</v>
      </c>
      <c r="AJ26" s="15">
        <f t="shared" si="1"/>
        <v>13.705</v>
      </c>
      <c r="AK26" s="15">
        <f t="shared" si="2"/>
        <v>153.78</v>
      </c>
      <c r="AL26" s="15">
        <f t="shared" si="3"/>
        <v>18.567499999999999</v>
      </c>
      <c r="AM26" s="16">
        <v>1</v>
      </c>
      <c r="AN26" s="16">
        <v>0</v>
      </c>
    </row>
    <row r="27" spans="1:40" x14ac:dyDescent="0.25">
      <c r="A27" s="6">
        <v>38</v>
      </c>
      <c r="B27" s="6">
        <v>10</v>
      </c>
      <c r="C27" s="6" t="s">
        <v>35</v>
      </c>
      <c r="D27" s="6">
        <v>2</v>
      </c>
      <c r="E27" s="6" t="s">
        <v>34</v>
      </c>
      <c r="F27">
        <v>0</v>
      </c>
      <c r="G27">
        <v>103</v>
      </c>
      <c r="H27">
        <v>0</v>
      </c>
      <c r="I27">
        <v>10</v>
      </c>
      <c r="J27" s="7">
        <v>97.74</v>
      </c>
      <c r="K27" s="7">
        <v>0</v>
      </c>
      <c r="L27" s="7">
        <v>10.34</v>
      </c>
      <c r="M27" s="7">
        <v>124.11</v>
      </c>
      <c r="N27">
        <v>67.260000000000005</v>
      </c>
      <c r="O27">
        <v>0</v>
      </c>
      <c r="P27">
        <v>20.62</v>
      </c>
      <c r="Q27">
        <v>75.27</v>
      </c>
      <c r="R27" s="8">
        <v>33.22</v>
      </c>
      <c r="S27" s="8">
        <v>0</v>
      </c>
      <c r="T27" s="8">
        <v>0.62</v>
      </c>
      <c r="U27" s="8">
        <v>26.99</v>
      </c>
      <c r="V27">
        <v>4.32</v>
      </c>
      <c r="W27">
        <v>0</v>
      </c>
      <c r="X27">
        <v>0</v>
      </c>
      <c r="Y27">
        <v>2.6</v>
      </c>
      <c r="Z27" s="9">
        <v>64.52</v>
      </c>
      <c r="AA27" s="9">
        <v>0</v>
      </c>
      <c r="AB27" s="9">
        <v>9.73</v>
      </c>
      <c r="AC27" s="9">
        <v>97.12</v>
      </c>
      <c r="AD27">
        <v>62.95</v>
      </c>
      <c r="AE27">
        <v>0</v>
      </c>
      <c r="AF27">
        <v>20.62</v>
      </c>
      <c r="AG27">
        <v>72.67</v>
      </c>
      <c r="AH27" s="14">
        <f t="shared" si="0"/>
        <v>16.02</v>
      </c>
      <c r="AI27" s="15">
        <f t="shared" si="1"/>
        <v>15.487500000000001</v>
      </c>
      <c r="AJ27" s="15">
        <f t="shared" si="1"/>
        <v>-0.25</v>
      </c>
      <c r="AK27" s="15">
        <f t="shared" si="2"/>
        <v>9.81</v>
      </c>
      <c r="AL27" s="15">
        <f t="shared" si="3"/>
        <v>17.9175</v>
      </c>
      <c r="AM27" s="16">
        <v>1</v>
      </c>
      <c r="AN27" s="16">
        <v>1</v>
      </c>
    </row>
    <row r="28" spans="1:40" x14ac:dyDescent="0.25">
      <c r="A28" s="6">
        <v>39</v>
      </c>
      <c r="B28" s="6">
        <v>10</v>
      </c>
      <c r="C28" s="6" t="s">
        <v>36</v>
      </c>
      <c r="D28" s="6">
        <v>3</v>
      </c>
      <c r="E28" s="6" t="s">
        <v>34</v>
      </c>
      <c r="F28">
        <v>0</v>
      </c>
      <c r="G28">
        <v>38</v>
      </c>
      <c r="H28">
        <v>0</v>
      </c>
      <c r="I28">
        <v>14</v>
      </c>
      <c r="J28" s="7">
        <v>372.67</v>
      </c>
      <c r="K28" s="7">
        <v>165.14</v>
      </c>
      <c r="L28" s="7">
        <v>0</v>
      </c>
      <c r="M28" s="7">
        <v>26.78</v>
      </c>
      <c r="N28">
        <v>303.83999999999997</v>
      </c>
      <c r="O28">
        <v>111.71</v>
      </c>
      <c r="P28">
        <v>0</v>
      </c>
      <c r="Q28">
        <v>39.93</v>
      </c>
      <c r="R28" s="8">
        <v>34.11</v>
      </c>
      <c r="S28" s="8">
        <v>28.77</v>
      </c>
      <c r="T28" s="8">
        <v>0</v>
      </c>
      <c r="U28" s="8">
        <v>10.62</v>
      </c>
      <c r="V28">
        <v>3.56</v>
      </c>
      <c r="W28">
        <v>13.56</v>
      </c>
      <c r="X28">
        <v>0</v>
      </c>
      <c r="Y28">
        <v>6.3</v>
      </c>
      <c r="Z28" s="9">
        <v>338.56</v>
      </c>
      <c r="AA28" s="9">
        <v>136.37</v>
      </c>
      <c r="AB28" s="9">
        <v>0</v>
      </c>
      <c r="AC28" s="9">
        <v>16.16</v>
      </c>
      <c r="AD28">
        <v>300.27</v>
      </c>
      <c r="AE28">
        <v>98.15</v>
      </c>
      <c r="AF28">
        <v>0</v>
      </c>
      <c r="AG28">
        <v>33.630000000000003</v>
      </c>
      <c r="AH28" s="14">
        <f t="shared" si="0"/>
        <v>2.5266666666666668</v>
      </c>
      <c r="AI28" s="15">
        <f t="shared" si="1"/>
        <v>74.817499999999995</v>
      </c>
      <c r="AJ28" s="15">
        <f t="shared" si="1"/>
        <v>24.287500000000001</v>
      </c>
      <c r="AK28" s="15">
        <f t="shared" si="2"/>
        <v>-0.5</v>
      </c>
      <c r="AL28" s="15">
        <f t="shared" si="3"/>
        <v>8.1575000000000006</v>
      </c>
      <c r="AM28" s="16">
        <v>1</v>
      </c>
      <c r="AN28" s="16">
        <v>0</v>
      </c>
    </row>
    <row r="29" spans="1:40" x14ac:dyDescent="0.25">
      <c r="A29" s="6">
        <v>40</v>
      </c>
      <c r="B29" s="6">
        <v>10</v>
      </c>
      <c r="C29" s="6" t="s">
        <v>37</v>
      </c>
      <c r="D29" s="6">
        <v>4</v>
      </c>
      <c r="E29" s="6" t="s">
        <v>34</v>
      </c>
      <c r="F29">
        <v>0</v>
      </c>
      <c r="G29">
        <v>35</v>
      </c>
      <c r="H29">
        <v>0</v>
      </c>
      <c r="I29">
        <v>10</v>
      </c>
      <c r="J29" s="7">
        <v>9.73</v>
      </c>
      <c r="K29" s="7">
        <v>221.71</v>
      </c>
      <c r="L29" s="7">
        <v>183.15</v>
      </c>
      <c r="M29" s="7">
        <v>0</v>
      </c>
      <c r="N29">
        <v>13.77</v>
      </c>
      <c r="O29">
        <v>174.52</v>
      </c>
      <c r="P29">
        <v>13.42</v>
      </c>
      <c r="Q29">
        <v>0</v>
      </c>
      <c r="R29" s="8">
        <v>0</v>
      </c>
      <c r="S29" s="8">
        <v>23.9</v>
      </c>
      <c r="T29" s="8">
        <v>33.770000000000003</v>
      </c>
      <c r="U29" s="8">
        <v>0</v>
      </c>
      <c r="V29">
        <v>1.58</v>
      </c>
      <c r="W29">
        <v>3.7</v>
      </c>
      <c r="X29">
        <v>3.63</v>
      </c>
      <c r="Y29">
        <v>0</v>
      </c>
      <c r="Z29" s="9">
        <v>9.73</v>
      </c>
      <c r="AA29" s="9">
        <v>197.81</v>
      </c>
      <c r="AB29" s="9">
        <v>149.38</v>
      </c>
      <c r="AC29" s="9">
        <v>0</v>
      </c>
      <c r="AD29">
        <v>12.19</v>
      </c>
      <c r="AE29">
        <v>170.82</v>
      </c>
      <c r="AF29">
        <v>9.7899999999999991</v>
      </c>
      <c r="AG29">
        <v>0</v>
      </c>
      <c r="AH29" s="14">
        <f t="shared" si="0"/>
        <v>-0.16666666666666666</v>
      </c>
      <c r="AI29" s="15">
        <f t="shared" si="1"/>
        <v>2.7974999999999999</v>
      </c>
      <c r="AJ29" s="15">
        <f t="shared" si="1"/>
        <v>42.454999999999998</v>
      </c>
      <c r="AK29" s="15">
        <f t="shared" si="2"/>
        <v>4.3949999999999996</v>
      </c>
      <c r="AL29" s="15">
        <f t="shared" si="3"/>
        <v>-0.25</v>
      </c>
      <c r="AM29" s="16">
        <v>1</v>
      </c>
      <c r="AN29" s="16">
        <v>0</v>
      </c>
    </row>
    <row r="30" spans="1:40" x14ac:dyDescent="0.25">
      <c r="A30" s="6">
        <v>41</v>
      </c>
      <c r="B30" s="6">
        <v>11</v>
      </c>
      <c r="C30" s="6" t="s">
        <v>33</v>
      </c>
      <c r="D30" s="6">
        <v>1</v>
      </c>
      <c r="E30" s="6" t="s">
        <v>34</v>
      </c>
      <c r="F30">
        <v>0</v>
      </c>
      <c r="G30">
        <v>127</v>
      </c>
      <c r="H30">
        <v>0</v>
      </c>
      <c r="I30">
        <v>114</v>
      </c>
      <c r="J30" s="7">
        <v>0</v>
      </c>
      <c r="K30" s="7">
        <v>40.619999999999997</v>
      </c>
      <c r="L30" s="7">
        <v>367.05</v>
      </c>
      <c r="M30" s="7">
        <v>179.86</v>
      </c>
      <c r="N30">
        <v>0</v>
      </c>
      <c r="O30">
        <v>29.52</v>
      </c>
      <c r="P30">
        <v>311.99</v>
      </c>
      <c r="Q30">
        <v>259.79000000000002</v>
      </c>
      <c r="R30" s="8">
        <v>0</v>
      </c>
      <c r="S30" s="8">
        <v>20.41</v>
      </c>
      <c r="T30" s="8">
        <v>80.55</v>
      </c>
      <c r="U30" s="8">
        <v>66.849999999999994</v>
      </c>
      <c r="V30">
        <v>0</v>
      </c>
      <c r="W30">
        <v>7.6</v>
      </c>
      <c r="X30">
        <v>69.25</v>
      </c>
      <c r="Y30">
        <v>86.37</v>
      </c>
      <c r="Z30" s="9">
        <v>0</v>
      </c>
      <c r="AA30" s="9">
        <v>20.21</v>
      </c>
      <c r="AB30" s="9">
        <v>286.51</v>
      </c>
      <c r="AC30" s="9">
        <v>113.01</v>
      </c>
      <c r="AD30">
        <v>0</v>
      </c>
      <c r="AE30">
        <v>21.92</v>
      </c>
      <c r="AF30">
        <v>242.74</v>
      </c>
      <c r="AG30">
        <v>173.42</v>
      </c>
      <c r="AH30" s="14">
        <f t="shared" si="0"/>
        <v>18.668333333333333</v>
      </c>
      <c r="AI30" s="15">
        <f t="shared" si="1"/>
        <v>-0.25</v>
      </c>
      <c r="AJ30" s="15">
        <f t="shared" si="1"/>
        <v>5.23</v>
      </c>
      <c r="AK30" s="15">
        <f t="shared" si="2"/>
        <v>120.87</v>
      </c>
      <c r="AL30" s="15">
        <f t="shared" si="3"/>
        <v>43.104999999999997</v>
      </c>
      <c r="AM30" s="16">
        <v>1</v>
      </c>
      <c r="AN30" s="16">
        <v>1</v>
      </c>
    </row>
    <row r="31" spans="1:40" x14ac:dyDescent="0.25">
      <c r="A31" s="6">
        <v>42</v>
      </c>
      <c r="B31" s="6">
        <v>11</v>
      </c>
      <c r="C31" s="6" t="s">
        <v>35</v>
      </c>
      <c r="D31" s="6">
        <v>2</v>
      </c>
      <c r="E31" s="6" t="s">
        <v>34</v>
      </c>
      <c r="F31">
        <v>0</v>
      </c>
      <c r="G31">
        <v>52</v>
      </c>
      <c r="H31">
        <v>0</v>
      </c>
      <c r="I31">
        <v>56</v>
      </c>
      <c r="J31" s="7">
        <v>50.27</v>
      </c>
      <c r="K31" s="7">
        <v>0</v>
      </c>
      <c r="L31" s="7">
        <v>42.4</v>
      </c>
      <c r="M31" s="7">
        <v>380.48</v>
      </c>
      <c r="N31">
        <v>114.59</v>
      </c>
      <c r="O31">
        <v>0</v>
      </c>
      <c r="P31">
        <v>91.23</v>
      </c>
      <c r="Q31">
        <v>331.3</v>
      </c>
      <c r="R31" s="8">
        <v>31.78</v>
      </c>
      <c r="S31" s="8">
        <v>0</v>
      </c>
      <c r="T31" s="8">
        <v>13.08</v>
      </c>
      <c r="U31" s="8">
        <v>45.89</v>
      </c>
      <c r="V31">
        <v>54.18</v>
      </c>
      <c r="W31">
        <v>0</v>
      </c>
      <c r="X31">
        <v>30.89</v>
      </c>
      <c r="Y31">
        <v>45.27</v>
      </c>
      <c r="Z31" s="9">
        <v>18.489999999999998</v>
      </c>
      <c r="AA31" s="9">
        <v>0</v>
      </c>
      <c r="AB31" s="9">
        <v>29.32</v>
      </c>
      <c r="AC31" s="9">
        <v>334.59</v>
      </c>
      <c r="AD31">
        <v>60.41</v>
      </c>
      <c r="AE31">
        <v>0</v>
      </c>
      <c r="AF31">
        <v>60.34</v>
      </c>
      <c r="AG31">
        <v>286.02999999999997</v>
      </c>
      <c r="AH31" s="14">
        <f t="shared" si="0"/>
        <v>55.598333333333329</v>
      </c>
      <c r="AI31" s="15">
        <f t="shared" si="1"/>
        <v>14.852499999999999</v>
      </c>
      <c r="AJ31" s="15">
        <f t="shared" si="1"/>
        <v>-0.25</v>
      </c>
      <c r="AK31" s="15">
        <f t="shared" si="2"/>
        <v>29.67</v>
      </c>
      <c r="AL31" s="15">
        <f t="shared" si="3"/>
        <v>71.257499999999993</v>
      </c>
      <c r="AM31" s="16">
        <v>1</v>
      </c>
      <c r="AN31" s="16">
        <v>0</v>
      </c>
    </row>
    <row r="32" spans="1:40" x14ac:dyDescent="0.25">
      <c r="A32" s="6">
        <v>43</v>
      </c>
      <c r="B32" s="6">
        <v>11</v>
      </c>
      <c r="C32" s="6" t="s">
        <v>36</v>
      </c>
      <c r="D32" s="6">
        <v>3</v>
      </c>
      <c r="E32" s="6" t="s">
        <v>34</v>
      </c>
      <c r="F32">
        <v>1</v>
      </c>
      <c r="G32">
        <v>175</v>
      </c>
      <c r="H32">
        <v>1</v>
      </c>
      <c r="I32">
        <v>69</v>
      </c>
      <c r="J32" s="7">
        <v>321.44</v>
      </c>
      <c r="K32" s="7">
        <v>183.49</v>
      </c>
      <c r="L32" s="7">
        <v>0</v>
      </c>
      <c r="M32" s="7">
        <v>8.6300000000000008</v>
      </c>
      <c r="N32">
        <v>317.19</v>
      </c>
      <c r="O32">
        <v>95.68</v>
      </c>
      <c r="P32">
        <v>0</v>
      </c>
      <c r="Q32">
        <v>6.1</v>
      </c>
      <c r="R32" s="8">
        <v>142.05000000000001</v>
      </c>
      <c r="S32" s="8">
        <v>106.78</v>
      </c>
      <c r="T32" s="8">
        <v>0</v>
      </c>
      <c r="U32" s="8">
        <v>2.81</v>
      </c>
      <c r="V32">
        <v>55.07</v>
      </c>
      <c r="W32">
        <v>42.95</v>
      </c>
      <c r="X32">
        <v>0</v>
      </c>
      <c r="Y32">
        <v>4.04</v>
      </c>
      <c r="Z32" s="9">
        <v>179.38</v>
      </c>
      <c r="AA32" s="9">
        <v>76.709999999999994</v>
      </c>
      <c r="AB32" s="9">
        <v>0</v>
      </c>
      <c r="AC32" s="9">
        <v>5.82</v>
      </c>
      <c r="AD32">
        <v>262.12</v>
      </c>
      <c r="AE32">
        <v>52.74</v>
      </c>
      <c r="AF32">
        <v>0</v>
      </c>
      <c r="AG32">
        <v>2.0499999999999998</v>
      </c>
      <c r="AH32" s="14">
        <f t="shared" si="0"/>
        <v>0.80333333333333334</v>
      </c>
      <c r="AI32" s="15">
        <f t="shared" si="1"/>
        <v>65.28</v>
      </c>
      <c r="AJ32" s="15">
        <f t="shared" si="1"/>
        <v>12.935</v>
      </c>
      <c r="AK32" s="15">
        <f t="shared" si="2"/>
        <v>-0.5</v>
      </c>
      <c r="AL32" s="15">
        <f t="shared" si="3"/>
        <v>0.26249999999999996</v>
      </c>
      <c r="AM32" s="16">
        <v>1</v>
      </c>
      <c r="AN32" s="16">
        <v>0</v>
      </c>
    </row>
    <row r="33" spans="1:40" x14ac:dyDescent="0.25">
      <c r="A33" s="6">
        <v>44</v>
      </c>
      <c r="B33" s="6">
        <v>11</v>
      </c>
      <c r="C33" s="6" t="s">
        <v>37</v>
      </c>
      <c r="D33" s="6">
        <v>4</v>
      </c>
      <c r="E33" s="6" t="s">
        <v>34</v>
      </c>
      <c r="F33">
        <v>0</v>
      </c>
      <c r="G33">
        <v>67</v>
      </c>
      <c r="H33">
        <v>0</v>
      </c>
      <c r="I33">
        <v>98</v>
      </c>
      <c r="J33" s="7">
        <v>89.18</v>
      </c>
      <c r="K33" s="7">
        <v>329.52</v>
      </c>
      <c r="L33" s="7">
        <v>74.319999999999993</v>
      </c>
      <c r="M33" s="7">
        <v>0</v>
      </c>
      <c r="N33">
        <v>130.75</v>
      </c>
      <c r="O33">
        <v>482.53</v>
      </c>
      <c r="P33">
        <v>102.33</v>
      </c>
      <c r="Q33">
        <v>0</v>
      </c>
      <c r="R33" s="8">
        <v>40.549999999999997</v>
      </c>
      <c r="S33" s="8">
        <v>57.6</v>
      </c>
      <c r="T33" s="8">
        <v>26.58</v>
      </c>
      <c r="U33" s="8">
        <v>0</v>
      </c>
      <c r="V33">
        <v>62.67</v>
      </c>
      <c r="W33">
        <v>94.59</v>
      </c>
      <c r="X33">
        <v>42.4</v>
      </c>
      <c r="Y33">
        <v>0</v>
      </c>
      <c r="Z33" s="9">
        <v>48.63</v>
      </c>
      <c r="AA33" s="9">
        <v>271.92</v>
      </c>
      <c r="AB33" s="9">
        <v>47.74</v>
      </c>
      <c r="AC33" s="9">
        <v>0</v>
      </c>
      <c r="AD33">
        <v>68.08</v>
      </c>
      <c r="AE33">
        <v>387.95</v>
      </c>
      <c r="AF33">
        <v>59.93</v>
      </c>
      <c r="AG33">
        <v>0</v>
      </c>
      <c r="AH33" s="14">
        <f t="shared" si="0"/>
        <v>-0.16666666666666666</v>
      </c>
      <c r="AI33" s="15">
        <f t="shared" si="1"/>
        <v>16.77</v>
      </c>
      <c r="AJ33" s="15">
        <f t="shared" si="1"/>
        <v>96.737499999999997</v>
      </c>
      <c r="AK33" s="15">
        <f t="shared" si="2"/>
        <v>29.465</v>
      </c>
      <c r="AL33" s="15">
        <f t="shared" si="3"/>
        <v>-0.25</v>
      </c>
      <c r="AM33" s="16">
        <v>1</v>
      </c>
      <c r="AN33" s="16">
        <v>0</v>
      </c>
    </row>
    <row r="34" spans="1:40" x14ac:dyDescent="0.25">
      <c r="A34" s="6">
        <v>45</v>
      </c>
      <c r="B34" s="6">
        <v>12</v>
      </c>
      <c r="C34" s="6" t="s">
        <v>33</v>
      </c>
      <c r="D34" s="6">
        <v>1</v>
      </c>
      <c r="E34" s="6" t="s">
        <v>34</v>
      </c>
      <c r="F34">
        <v>0</v>
      </c>
      <c r="G34">
        <v>102</v>
      </c>
      <c r="H34">
        <v>0</v>
      </c>
      <c r="I34">
        <v>140</v>
      </c>
      <c r="J34" s="7">
        <v>0</v>
      </c>
      <c r="K34" s="7">
        <v>82.33</v>
      </c>
      <c r="L34" s="7">
        <v>201.78</v>
      </c>
      <c r="M34" s="7">
        <v>63.7</v>
      </c>
      <c r="N34">
        <v>0</v>
      </c>
      <c r="O34">
        <v>54.52</v>
      </c>
      <c r="P34">
        <v>408.9</v>
      </c>
      <c r="Q34">
        <v>218.29</v>
      </c>
      <c r="R34" s="8">
        <v>0</v>
      </c>
      <c r="S34" s="8">
        <v>26.58</v>
      </c>
      <c r="T34" s="8">
        <v>86.92</v>
      </c>
      <c r="U34" s="8">
        <v>28.49</v>
      </c>
      <c r="V34">
        <v>0</v>
      </c>
      <c r="W34">
        <v>15.55</v>
      </c>
      <c r="X34">
        <v>128.01</v>
      </c>
      <c r="Y34">
        <v>105.82</v>
      </c>
      <c r="Z34" s="9">
        <v>0</v>
      </c>
      <c r="AA34" s="9">
        <v>55.75</v>
      </c>
      <c r="AB34" s="9">
        <v>114.86</v>
      </c>
      <c r="AC34" s="9">
        <v>35.21</v>
      </c>
      <c r="AD34">
        <v>0</v>
      </c>
      <c r="AE34">
        <v>38.97</v>
      </c>
      <c r="AF34">
        <v>280.89</v>
      </c>
      <c r="AG34">
        <v>112.47</v>
      </c>
      <c r="AH34" s="14">
        <f t="shared" si="0"/>
        <v>5.7016666666666671</v>
      </c>
      <c r="AI34" s="15">
        <f t="shared" si="1"/>
        <v>-0.25</v>
      </c>
      <c r="AJ34" s="15">
        <f t="shared" si="1"/>
        <v>9.4924999999999997</v>
      </c>
      <c r="AK34" s="15">
        <f t="shared" si="2"/>
        <v>139.94499999999999</v>
      </c>
      <c r="AL34" s="15">
        <f t="shared" si="3"/>
        <v>27.8675</v>
      </c>
      <c r="AM34" s="16">
        <v>1</v>
      </c>
      <c r="AN34" s="16">
        <v>0</v>
      </c>
    </row>
    <row r="35" spans="1:40" x14ac:dyDescent="0.25">
      <c r="A35" s="6">
        <v>46</v>
      </c>
      <c r="B35" s="6">
        <v>12</v>
      </c>
      <c r="C35" s="6" t="s">
        <v>35</v>
      </c>
      <c r="D35" s="6">
        <v>2</v>
      </c>
      <c r="E35" s="6" t="s">
        <v>34</v>
      </c>
      <c r="F35">
        <v>0</v>
      </c>
      <c r="G35">
        <v>79</v>
      </c>
      <c r="H35">
        <v>0</v>
      </c>
      <c r="I35">
        <v>80</v>
      </c>
      <c r="J35" s="7">
        <v>137.26</v>
      </c>
      <c r="K35" s="7">
        <v>0</v>
      </c>
      <c r="L35" s="7">
        <v>77.53</v>
      </c>
      <c r="M35" s="7">
        <v>304.52</v>
      </c>
      <c r="N35">
        <v>139.66</v>
      </c>
      <c r="O35">
        <v>0</v>
      </c>
      <c r="P35">
        <v>148.15</v>
      </c>
      <c r="Q35">
        <v>404.18</v>
      </c>
      <c r="R35" s="8">
        <v>46.51</v>
      </c>
      <c r="S35" s="8">
        <v>0</v>
      </c>
      <c r="T35" s="8">
        <v>41.16</v>
      </c>
      <c r="U35" s="8">
        <v>71.510000000000005</v>
      </c>
      <c r="V35">
        <v>52.4</v>
      </c>
      <c r="W35">
        <v>0</v>
      </c>
      <c r="X35">
        <v>45.82</v>
      </c>
      <c r="Y35">
        <v>77.400000000000006</v>
      </c>
      <c r="Z35" s="9">
        <v>90.75</v>
      </c>
      <c r="AA35" s="9">
        <v>0</v>
      </c>
      <c r="AB35" s="9">
        <v>36.369999999999997</v>
      </c>
      <c r="AC35" s="9">
        <v>233.01</v>
      </c>
      <c r="AD35">
        <v>87.26</v>
      </c>
      <c r="AE35">
        <v>0</v>
      </c>
      <c r="AF35">
        <v>102.33</v>
      </c>
      <c r="AG35">
        <v>326.77999999999997</v>
      </c>
      <c r="AH35" s="14">
        <f t="shared" si="0"/>
        <v>38.668333333333329</v>
      </c>
      <c r="AI35" s="15">
        <f t="shared" si="1"/>
        <v>21.565000000000001</v>
      </c>
      <c r="AJ35" s="15">
        <f t="shared" si="1"/>
        <v>-0.25</v>
      </c>
      <c r="AK35" s="15">
        <f t="shared" si="2"/>
        <v>50.664999999999999</v>
      </c>
      <c r="AL35" s="15">
        <f t="shared" si="3"/>
        <v>81.444999999999993</v>
      </c>
      <c r="AM35" s="16">
        <v>0</v>
      </c>
      <c r="AN35" s="16">
        <v>0</v>
      </c>
    </row>
    <row r="36" spans="1:40" x14ac:dyDescent="0.25">
      <c r="A36" s="6">
        <v>47</v>
      </c>
      <c r="B36" s="6">
        <v>12</v>
      </c>
      <c r="C36" s="6" t="s">
        <v>36</v>
      </c>
      <c r="D36" s="6">
        <v>3</v>
      </c>
      <c r="E36" s="6" t="s">
        <v>38</v>
      </c>
      <c r="F36">
        <v>0</v>
      </c>
      <c r="G36">
        <v>17</v>
      </c>
      <c r="H36">
        <v>0</v>
      </c>
      <c r="I36">
        <v>42</v>
      </c>
      <c r="J36" s="7">
        <v>110.21</v>
      </c>
      <c r="K36" s="7">
        <v>12.74</v>
      </c>
      <c r="L36" s="7">
        <v>0</v>
      </c>
      <c r="M36" s="7">
        <v>0.41</v>
      </c>
      <c r="N36">
        <v>365.62</v>
      </c>
      <c r="O36">
        <v>49.25</v>
      </c>
      <c r="P36">
        <v>0</v>
      </c>
      <c r="Q36">
        <v>11.16</v>
      </c>
      <c r="R36" s="8">
        <v>8.08</v>
      </c>
      <c r="S36" s="8">
        <v>5.07</v>
      </c>
      <c r="T36" s="8">
        <v>0</v>
      </c>
      <c r="U36" s="8">
        <v>0.41</v>
      </c>
      <c r="V36">
        <v>40.619999999999997</v>
      </c>
      <c r="W36">
        <v>38.01</v>
      </c>
      <c r="X36">
        <v>0</v>
      </c>
      <c r="Y36">
        <v>8.84</v>
      </c>
      <c r="Z36" s="9">
        <v>102.12</v>
      </c>
      <c r="AA36" s="9">
        <v>7.67</v>
      </c>
      <c r="AB36" s="9">
        <v>0</v>
      </c>
      <c r="AC36" s="9">
        <v>0</v>
      </c>
      <c r="AD36">
        <v>325</v>
      </c>
      <c r="AE36">
        <v>11.23</v>
      </c>
      <c r="AF36">
        <v>0</v>
      </c>
      <c r="AG36">
        <v>2.33</v>
      </c>
      <c r="AH36" s="14">
        <f t="shared" si="0"/>
        <v>-0.16666666666666666</v>
      </c>
      <c r="AI36" s="15">
        <f t="shared" si="1"/>
        <v>81</v>
      </c>
      <c r="AJ36" s="15">
        <f t="shared" si="1"/>
        <v>2.5575000000000001</v>
      </c>
      <c r="AK36" s="15">
        <f t="shared" si="2"/>
        <v>-0.5</v>
      </c>
      <c r="AL36" s="15">
        <f t="shared" si="3"/>
        <v>0.33250000000000002</v>
      </c>
      <c r="AM36" s="16">
        <v>1</v>
      </c>
      <c r="AN36" s="16">
        <v>1</v>
      </c>
    </row>
    <row r="37" spans="1:40" x14ac:dyDescent="0.25">
      <c r="A37" s="6">
        <v>48</v>
      </c>
      <c r="B37" s="6">
        <v>12</v>
      </c>
      <c r="C37" s="6" t="s">
        <v>37</v>
      </c>
      <c r="D37" s="6">
        <v>4</v>
      </c>
      <c r="E37" s="6" t="s">
        <v>38</v>
      </c>
      <c r="F37">
        <v>1</v>
      </c>
      <c r="G37">
        <v>55</v>
      </c>
      <c r="H37">
        <v>1</v>
      </c>
      <c r="I37">
        <v>10</v>
      </c>
      <c r="J37" s="7">
        <v>72.33</v>
      </c>
      <c r="K37" s="7">
        <v>190.14</v>
      </c>
      <c r="L37" s="7">
        <v>40</v>
      </c>
      <c r="M37" s="7">
        <v>0</v>
      </c>
      <c r="N37">
        <v>83.49</v>
      </c>
      <c r="O37">
        <v>487.26</v>
      </c>
      <c r="P37">
        <v>8.6999999999999993</v>
      </c>
      <c r="Q37">
        <v>0</v>
      </c>
      <c r="R37" s="8">
        <v>7.47</v>
      </c>
      <c r="S37" s="8">
        <v>29.79</v>
      </c>
      <c r="T37" s="8">
        <v>17.88</v>
      </c>
      <c r="U37" s="8">
        <v>0</v>
      </c>
      <c r="V37">
        <v>1.1599999999999999</v>
      </c>
      <c r="W37">
        <v>8.42</v>
      </c>
      <c r="X37">
        <v>3.42</v>
      </c>
      <c r="Y37">
        <v>0</v>
      </c>
      <c r="Z37" s="9">
        <v>64.86</v>
      </c>
      <c r="AA37" s="9">
        <v>160.34</v>
      </c>
      <c r="AB37" s="9">
        <v>22.12</v>
      </c>
      <c r="AC37" s="9">
        <v>0</v>
      </c>
      <c r="AD37">
        <v>82.33</v>
      </c>
      <c r="AE37">
        <v>478.84</v>
      </c>
      <c r="AF37">
        <v>5.27</v>
      </c>
      <c r="AG37">
        <v>0</v>
      </c>
      <c r="AH37" s="14">
        <f t="shared" si="0"/>
        <v>-0.16666666666666666</v>
      </c>
      <c r="AI37" s="15">
        <f t="shared" si="1"/>
        <v>20.3325</v>
      </c>
      <c r="AJ37" s="15">
        <f t="shared" si="1"/>
        <v>119.46</v>
      </c>
      <c r="AK37" s="15">
        <f t="shared" si="2"/>
        <v>2.1349999999999998</v>
      </c>
      <c r="AL37" s="15">
        <f t="shared" si="3"/>
        <v>-0.25</v>
      </c>
      <c r="AM37" s="16">
        <v>1</v>
      </c>
      <c r="AN37" s="16">
        <v>0</v>
      </c>
    </row>
    <row r="38" spans="1:40" x14ac:dyDescent="0.25">
      <c r="A38" s="6">
        <v>53</v>
      </c>
      <c r="B38" s="6">
        <v>14</v>
      </c>
      <c r="C38" s="6" t="s">
        <v>33</v>
      </c>
      <c r="D38" s="6">
        <v>1</v>
      </c>
      <c r="E38" s="6" t="s">
        <v>34</v>
      </c>
      <c r="F38">
        <v>0</v>
      </c>
      <c r="G38">
        <v>24</v>
      </c>
      <c r="H38">
        <v>0</v>
      </c>
      <c r="I38">
        <v>24</v>
      </c>
      <c r="J38" s="7">
        <v>0</v>
      </c>
      <c r="K38" s="7">
        <v>53.7</v>
      </c>
      <c r="L38" s="7">
        <v>408.22</v>
      </c>
      <c r="M38" s="7">
        <v>30.27</v>
      </c>
      <c r="N38">
        <v>0</v>
      </c>
      <c r="O38">
        <v>59.11</v>
      </c>
      <c r="P38">
        <v>275.48</v>
      </c>
      <c r="Q38">
        <v>54.52</v>
      </c>
      <c r="R38" s="8">
        <v>0</v>
      </c>
      <c r="S38" s="8">
        <v>14.45</v>
      </c>
      <c r="T38" s="8">
        <v>18.36</v>
      </c>
      <c r="U38" s="8">
        <v>1.51</v>
      </c>
      <c r="V38">
        <v>0</v>
      </c>
      <c r="W38">
        <v>18.899999999999999</v>
      </c>
      <c r="X38">
        <v>23.15</v>
      </c>
      <c r="Y38">
        <v>4.38</v>
      </c>
      <c r="Z38" s="9">
        <v>0</v>
      </c>
      <c r="AA38" s="9">
        <v>39.25</v>
      </c>
      <c r="AB38" s="9">
        <v>389.86</v>
      </c>
      <c r="AC38" s="9">
        <v>28.77</v>
      </c>
      <c r="AD38">
        <v>0</v>
      </c>
      <c r="AE38">
        <v>40.21</v>
      </c>
      <c r="AF38">
        <v>252.33</v>
      </c>
      <c r="AG38">
        <v>50.14</v>
      </c>
      <c r="AH38" s="14">
        <f t="shared" si="0"/>
        <v>4.628333333333333</v>
      </c>
      <c r="AI38" s="15">
        <f t="shared" si="1"/>
        <v>-0.25</v>
      </c>
      <c r="AJ38" s="15">
        <f t="shared" si="1"/>
        <v>9.8025000000000002</v>
      </c>
      <c r="AK38" s="15">
        <f t="shared" si="2"/>
        <v>125.66500000000001</v>
      </c>
      <c r="AL38" s="15">
        <f t="shared" si="3"/>
        <v>12.285</v>
      </c>
      <c r="AM38" s="16">
        <v>1</v>
      </c>
      <c r="AN38" s="16">
        <v>1</v>
      </c>
    </row>
    <row r="39" spans="1:40" x14ac:dyDescent="0.25">
      <c r="A39" s="6">
        <v>54</v>
      </c>
      <c r="B39" s="6">
        <v>14</v>
      </c>
      <c r="C39" s="6" t="s">
        <v>35</v>
      </c>
      <c r="D39" s="6">
        <v>2</v>
      </c>
      <c r="E39" s="6" t="s">
        <v>34</v>
      </c>
      <c r="F39">
        <v>0</v>
      </c>
      <c r="G39">
        <v>197</v>
      </c>
      <c r="H39">
        <v>0</v>
      </c>
      <c r="I39">
        <v>72</v>
      </c>
      <c r="J39" s="7">
        <v>265.20999999999998</v>
      </c>
      <c r="K39" s="7">
        <v>0</v>
      </c>
      <c r="L39" s="7">
        <v>100.89</v>
      </c>
      <c r="M39" s="7">
        <v>273.83999999999997</v>
      </c>
      <c r="N39">
        <v>70</v>
      </c>
      <c r="O39">
        <v>0</v>
      </c>
      <c r="P39">
        <v>12.6</v>
      </c>
      <c r="Q39">
        <v>134.79</v>
      </c>
      <c r="R39" s="8">
        <v>116.16</v>
      </c>
      <c r="S39" s="8">
        <v>0</v>
      </c>
      <c r="T39" s="8">
        <v>39.25</v>
      </c>
      <c r="U39" s="8">
        <v>102.67</v>
      </c>
      <c r="V39">
        <v>45.75</v>
      </c>
      <c r="W39">
        <v>0</v>
      </c>
      <c r="X39">
        <v>15.67</v>
      </c>
      <c r="Y39">
        <v>12.6</v>
      </c>
      <c r="Z39" s="9">
        <v>149.04</v>
      </c>
      <c r="AA39" s="9">
        <v>0</v>
      </c>
      <c r="AB39" s="9">
        <v>61.64</v>
      </c>
      <c r="AC39" s="9">
        <v>171.16</v>
      </c>
      <c r="AD39">
        <v>24.25</v>
      </c>
      <c r="AE39">
        <v>0</v>
      </c>
      <c r="AF39">
        <v>4.93</v>
      </c>
      <c r="AG39">
        <v>122.19</v>
      </c>
      <c r="AH39" s="14">
        <f t="shared" si="0"/>
        <v>28.36</v>
      </c>
      <c r="AI39" s="15">
        <f t="shared" si="1"/>
        <v>5.8125</v>
      </c>
      <c r="AJ39" s="15">
        <f t="shared" si="1"/>
        <v>-0.25</v>
      </c>
      <c r="AK39" s="15">
        <f t="shared" si="2"/>
        <v>1.9649999999999999</v>
      </c>
      <c r="AL39" s="15">
        <f t="shared" si="3"/>
        <v>30.297499999999999</v>
      </c>
      <c r="AM39" s="16">
        <v>1</v>
      </c>
      <c r="AN39" s="16">
        <v>1</v>
      </c>
    </row>
    <row r="40" spans="1:40" x14ac:dyDescent="0.25">
      <c r="A40" s="6">
        <v>55</v>
      </c>
      <c r="B40" s="6">
        <v>14</v>
      </c>
      <c r="C40" s="6" t="s">
        <v>36</v>
      </c>
      <c r="D40" s="6">
        <v>3</v>
      </c>
      <c r="E40" s="6" t="s">
        <v>38</v>
      </c>
      <c r="F40">
        <v>0</v>
      </c>
      <c r="G40">
        <v>139</v>
      </c>
      <c r="H40">
        <v>0</v>
      </c>
      <c r="I40">
        <v>24</v>
      </c>
      <c r="J40" s="7">
        <v>228.97</v>
      </c>
      <c r="K40" s="7">
        <v>195.48</v>
      </c>
      <c r="L40" s="7">
        <v>0</v>
      </c>
      <c r="M40" s="7">
        <v>68.22</v>
      </c>
      <c r="N40">
        <v>221.23</v>
      </c>
      <c r="O40">
        <v>55.07</v>
      </c>
      <c r="P40">
        <v>0</v>
      </c>
      <c r="Q40">
        <v>58.63</v>
      </c>
      <c r="R40" s="8">
        <v>50.55</v>
      </c>
      <c r="S40" s="8">
        <v>78.22</v>
      </c>
      <c r="T40" s="8">
        <v>0</v>
      </c>
      <c r="U40" s="8">
        <v>33.29</v>
      </c>
      <c r="V40">
        <v>20.07</v>
      </c>
      <c r="W40">
        <v>12.12</v>
      </c>
      <c r="X40">
        <v>0</v>
      </c>
      <c r="Y40">
        <v>16.71</v>
      </c>
      <c r="Z40" s="9">
        <v>178.42</v>
      </c>
      <c r="AA40" s="9">
        <v>117.26</v>
      </c>
      <c r="AB40" s="9">
        <v>0</v>
      </c>
      <c r="AC40" s="9">
        <v>34.93</v>
      </c>
      <c r="AD40">
        <v>201.16</v>
      </c>
      <c r="AE40">
        <v>42.95</v>
      </c>
      <c r="AF40">
        <v>0</v>
      </c>
      <c r="AG40">
        <v>41.92</v>
      </c>
      <c r="AH40" s="14">
        <f t="shared" si="0"/>
        <v>5.6550000000000002</v>
      </c>
      <c r="AI40" s="15">
        <f t="shared" si="1"/>
        <v>50.04</v>
      </c>
      <c r="AJ40" s="15">
        <f t="shared" si="1"/>
        <v>10.487500000000001</v>
      </c>
      <c r="AK40" s="15">
        <f t="shared" si="2"/>
        <v>-0.5</v>
      </c>
      <c r="AL40" s="15">
        <f t="shared" si="3"/>
        <v>10.23</v>
      </c>
      <c r="AM40" s="16">
        <v>1</v>
      </c>
      <c r="AN40" s="16">
        <v>1</v>
      </c>
    </row>
    <row r="41" spans="1:40" x14ac:dyDescent="0.25">
      <c r="A41" s="6">
        <v>56</v>
      </c>
      <c r="B41" s="6">
        <v>14</v>
      </c>
      <c r="C41" s="6" t="s">
        <v>37</v>
      </c>
      <c r="D41" s="6">
        <v>4</v>
      </c>
      <c r="E41" s="6" t="s">
        <v>34</v>
      </c>
      <c r="F41">
        <v>1</v>
      </c>
      <c r="G41">
        <v>68</v>
      </c>
      <c r="H41">
        <v>1</v>
      </c>
      <c r="I41">
        <v>49</v>
      </c>
      <c r="J41" s="7">
        <v>31.1</v>
      </c>
      <c r="K41" s="7">
        <v>206.78</v>
      </c>
      <c r="L41" s="7">
        <v>6.92</v>
      </c>
      <c r="M41" s="7">
        <v>0</v>
      </c>
      <c r="N41">
        <v>15.96</v>
      </c>
      <c r="O41">
        <v>173.08</v>
      </c>
      <c r="P41">
        <v>17.12</v>
      </c>
      <c r="Q41">
        <v>0</v>
      </c>
      <c r="R41" s="8">
        <v>20</v>
      </c>
      <c r="S41" s="8">
        <v>46.64</v>
      </c>
      <c r="T41" s="8">
        <v>0.89</v>
      </c>
      <c r="U41" s="8">
        <v>0</v>
      </c>
      <c r="V41">
        <v>8.2899999999999991</v>
      </c>
      <c r="W41">
        <v>43.08</v>
      </c>
      <c r="X41">
        <v>6.16</v>
      </c>
      <c r="Y41">
        <v>0</v>
      </c>
      <c r="Z41" s="9">
        <v>11.1</v>
      </c>
      <c r="AA41" s="9">
        <v>160.13999999999999</v>
      </c>
      <c r="AB41" s="9">
        <v>6.03</v>
      </c>
      <c r="AC41" s="9">
        <v>0</v>
      </c>
      <c r="AD41">
        <v>7.67</v>
      </c>
      <c r="AE41">
        <v>130</v>
      </c>
      <c r="AF41">
        <v>10.96</v>
      </c>
      <c r="AG41">
        <v>0</v>
      </c>
      <c r="AH41" s="14">
        <f t="shared" si="0"/>
        <v>-0.16666666666666666</v>
      </c>
      <c r="AI41" s="15">
        <f t="shared" si="1"/>
        <v>1.6675</v>
      </c>
      <c r="AJ41" s="15">
        <f t="shared" si="1"/>
        <v>32.25</v>
      </c>
      <c r="AK41" s="15">
        <f t="shared" si="2"/>
        <v>4.9800000000000004</v>
      </c>
      <c r="AL41" s="15">
        <f t="shared" si="3"/>
        <v>-0.25</v>
      </c>
      <c r="AM41" s="16">
        <v>1</v>
      </c>
      <c r="AN41" s="16">
        <v>1</v>
      </c>
    </row>
    <row r="42" spans="1:40" x14ac:dyDescent="0.25">
      <c r="A42" s="6">
        <v>57</v>
      </c>
      <c r="B42" s="6">
        <v>15</v>
      </c>
      <c r="C42" s="6" t="s">
        <v>33</v>
      </c>
      <c r="D42" s="6">
        <v>1</v>
      </c>
      <c r="E42" s="6" t="s">
        <v>34</v>
      </c>
      <c r="F42">
        <v>0</v>
      </c>
      <c r="G42">
        <v>100</v>
      </c>
      <c r="H42">
        <v>0</v>
      </c>
      <c r="I42">
        <v>107</v>
      </c>
      <c r="J42" s="7">
        <v>0</v>
      </c>
      <c r="K42" s="7">
        <v>72.260000000000005</v>
      </c>
      <c r="L42" s="7">
        <v>259.11</v>
      </c>
      <c r="M42" s="7">
        <v>46.58</v>
      </c>
      <c r="N42">
        <v>0</v>
      </c>
      <c r="O42">
        <v>93.36</v>
      </c>
      <c r="P42">
        <v>485.41</v>
      </c>
      <c r="Q42">
        <v>62.12</v>
      </c>
      <c r="R42" s="8">
        <v>0</v>
      </c>
      <c r="S42" s="8">
        <v>42.47</v>
      </c>
      <c r="T42" s="8">
        <v>70</v>
      </c>
      <c r="U42" s="8">
        <v>26.85</v>
      </c>
      <c r="V42">
        <v>0</v>
      </c>
      <c r="W42">
        <v>80</v>
      </c>
      <c r="X42">
        <v>101.92</v>
      </c>
      <c r="Y42">
        <v>35.270000000000003</v>
      </c>
      <c r="Z42" s="9">
        <v>0</v>
      </c>
      <c r="AA42" s="9">
        <v>29.79</v>
      </c>
      <c r="AB42" s="9">
        <v>189.11</v>
      </c>
      <c r="AC42" s="9">
        <v>19.73</v>
      </c>
      <c r="AD42">
        <v>0</v>
      </c>
      <c r="AE42">
        <v>13.36</v>
      </c>
      <c r="AF42">
        <v>383.49</v>
      </c>
      <c r="AG42">
        <v>26.85</v>
      </c>
      <c r="AH42" s="14">
        <f t="shared" si="0"/>
        <v>3.1216666666666666</v>
      </c>
      <c r="AI42" s="15">
        <f t="shared" si="1"/>
        <v>-0.25</v>
      </c>
      <c r="AJ42" s="15">
        <f t="shared" si="1"/>
        <v>3.09</v>
      </c>
      <c r="AK42" s="15">
        <f t="shared" si="2"/>
        <v>191.245</v>
      </c>
      <c r="AL42" s="15">
        <f t="shared" si="3"/>
        <v>6.4625000000000004</v>
      </c>
      <c r="AM42" s="16">
        <v>1</v>
      </c>
      <c r="AN42" s="16">
        <v>1</v>
      </c>
    </row>
    <row r="43" spans="1:40" x14ac:dyDescent="0.25">
      <c r="A43" s="6">
        <v>58</v>
      </c>
      <c r="B43" s="6">
        <v>15</v>
      </c>
      <c r="C43" s="6" t="s">
        <v>35</v>
      </c>
      <c r="D43" s="6">
        <v>2</v>
      </c>
      <c r="E43" s="6" t="s">
        <v>34</v>
      </c>
      <c r="F43">
        <v>1</v>
      </c>
      <c r="G43">
        <v>40</v>
      </c>
      <c r="H43">
        <v>0</v>
      </c>
      <c r="I43">
        <v>78</v>
      </c>
      <c r="J43" s="7">
        <v>51.23</v>
      </c>
      <c r="K43" s="7">
        <v>0</v>
      </c>
      <c r="L43" s="7">
        <v>56.03</v>
      </c>
      <c r="M43" s="7">
        <v>66.78</v>
      </c>
      <c r="N43">
        <v>27.6</v>
      </c>
      <c r="O43">
        <v>0</v>
      </c>
      <c r="P43">
        <v>14.86</v>
      </c>
      <c r="Q43">
        <v>65.62</v>
      </c>
      <c r="R43" s="8">
        <v>14.32</v>
      </c>
      <c r="S43" s="8">
        <v>0</v>
      </c>
      <c r="T43" s="8">
        <v>13.22</v>
      </c>
      <c r="U43" s="8">
        <v>6.23</v>
      </c>
      <c r="V43">
        <v>0</v>
      </c>
      <c r="W43">
        <v>0</v>
      </c>
      <c r="X43">
        <v>7.12</v>
      </c>
      <c r="Y43">
        <v>13.49</v>
      </c>
      <c r="Z43" s="9">
        <v>36.92</v>
      </c>
      <c r="AA43" s="9">
        <v>0</v>
      </c>
      <c r="AB43" s="9">
        <v>42.81</v>
      </c>
      <c r="AC43" s="9">
        <v>60.55</v>
      </c>
      <c r="AD43">
        <v>27.6</v>
      </c>
      <c r="AE43">
        <v>0</v>
      </c>
      <c r="AF43">
        <v>7.74</v>
      </c>
      <c r="AG43">
        <v>52.12</v>
      </c>
      <c r="AH43" s="14">
        <f t="shared" si="0"/>
        <v>9.9249999999999989</v>
      </c>
      <c r="AI43" s="15">
        <f t="shared" si="1"/>
        <v>6.65</v>
      </c>
      <c r="AJ43" s="15">
        <f t="shared" si="1"/>
        <v>-0.25</v>
      </c>
      <c r="AK43" s="15">
        <f t="shared" si="2"/>
        <v>3.37</v>
      </c>
      <c r="AL43" s="15">
        <f t="shared" si="3"/>
        <v>12.78</v>
      </c>
      <c r="AM43" s="16">
        <v>1</v>
      </c>
      <c r="AN43" s="16">
        <v>1</v>
      </c>
    </row>
    <row r="44" spans="1:40" x14ac:dyDescent="0.25">
      <c r="A44" s="6">
        <v>59</v>
      </c>
      <c r="B44" s="6">
        <v>15</v>
      </c>
      <c r="C44" s="6" t="s">
        <v>36</v>
      </c>
      <c r="D44" s="6">
        <v>3</v>
      </c>
      <c r="E44" s="6" t="s">
        <v>34</v>
      </c>
      <c r="F44">
        <v>0</v>
      </c>
      <c r="G44">
        <v>114</v>
      </c>
      <c r="H44">
        <v>1</v>
      </c>
      <c r="I44">
        <v>140</v>
      </c>
      <c r="J44" s="7">
        <v>265.68</v>
      </c>
      <c r="K44" s="7">
        <v>141.91999999999999</v>
      </c>
      <c r="L44" s="7">
        <v>0</v>
      </c>
      <c r="M44" s="7">
        <v>110.89</v>
      </c>
      <c r="N44">
        <v>151.78</v>
      </c>
      <c r="O44">
        <v>198.29</v>
      </c>
      <c r="P44">
        <v>0</v>
      </c>
      <c r="Q44">
        <v>181.16</v>
      </c>
      <c r="R44" s="8">
        <v>59.04</v>
      </c>
      <c r="S44" s="8">
        <v>72.95</v>
      </c>
      <c r="T44" s="8">
        <v>0</v>
      </c>
      <c r="U44" s="8">
        <v>47.4</v>
      </c>
      <c r="V44">
        <v>14.93</v>
      </c>
      <c r="W44">
        <v>116.92</v>
      </c>
      <c r="X44">
        <v>0</v>
      </c>
      <c r="Y44">
        <v>62.26</v>
      </c>
      <c r="Z44" s="9">
        <v>206.64</v>
      </c>
      <c r="AA44" s="9">
        <v>68.97</v>
      </c>
      <c r="AB44" s="9">
        <v>0</v>
      </c>
      <c r="AC44" s="9">
        <v>63.49</v>
      </c>
      <c r="AD44">
        <v>136.85</v>
      </c>
      <c r="AE44">
        <v>81.37</v>
      </c>
      <c r="AF44">
        <v>0</v>
      </c>
      <c r="AG44">
        <v>118.9</v>
      </c>
      <c r="AH44" s="14">
        <f t="shared" si="0"/>
        <v>10.415000000000001</v>
      </c>
      <c r="AI44" s="15">
        <f t="shared" si="1"/>
        <v>33.962499999999999</v>
      </c>
      <c r="AJ44" s="15">
        <f t="shared" si="1"/>
        <v>20.092500000000001</v>
      </c>
      <c r="AK44" s="15">
        <f t="shared" si="2"/>
        <v>-0.5</v>
      </c>
      <c r="AL44" s="15">
        <f t="shared" si="3"/>
        <v>29.475000000000001</v>
      </c>
      <c r="AM44" s="16">
        <v>1</v>
      </c>
      <c r="AN44" s="16">
        <v>1</v>
      </c>
    </row>
    <row r="45" spans="1:40" x14ac:dyDescent="0.25">
      <c r="A45" s="6">
        <v>60</v>
      </c>
      <c r="B45" s="6">
        <v>15</v>
      </c>
      <c r="C45" s="6" t="s">
        <v>37</v>
      </c>
      <c r="D45" s="6">
        <v>4</v>
      </c>
      <c r="E45" s="6" t="s">
        <v>34</v>
      </c>
      <c r="F45">
        <v>0</v>
      </c>
      <c r="G45">
        <v>73</v>
      </c>
      <c r="H45">
        <v>0</v>
      </c>
      <c r="I45">
        <v>72</v>
      </c>
      <c r="J45" s="7">
        <v>1.71</v>
      </c>
      <c r="K45" s="7">
        <v>141.03</v>
      </c>
      <c r="L45" s="7">
        <v>50.82</v>
      </c>
      <c r="M45" s="7">
        <v>0</v>
      </c>
      <c r="N45">
        <v>9.59</v>
      </c>
      <c r="O45">
        <v>188.97</v>
      </c>
      <c r="P45">
        <v>33.15</v>
      </c>
      <c r="Q45">
        <v>0</v>
      </c>
      <c r="R45" s="8">
        <v>0.55000000000000004</v>
      </c>
      <c r="S45" s="8">
        <v>32.049999999999997</v>
      </c>
      <c r="T45" s="8">
        <v>11.51</v>
      </c>
      <c r="U45" s="8">
        <v>0</v>
      </c>
      <c r="V45">
        <v>0</v>
      </c>
      <c r="W45">
        <v>54.45</v>
      </c>
      <c r="X45">
        <v>6.64</v>
      </c>
      <c r="Y45">
        <v>0</v>
      </c>
      <c r="Z45" s="9">
        <v>1.1599999999999999</v>
      </c>
      <c r="AA45" s="9">
        <v>108.97</v>
      </c>
      <c r="AB45" s="9">
        <v>39.32</v>
      </c>
      <c r="AC45" s="9">
        <v>0</v>
      </c>
      <c r="AD45">
        <v>9.59</v>
      </c>
      <c r="AE45">
        <v>134.52000000000001</v>
      </c>
      <c r="AF45">
        <v>26.51</v>
      </c>
      <c r="AG45">
        <v>0</v>
      </c>
      <c r="AH45" s="14">
        <f t="shared" si="0"/>
        <v>-0.16666666666666666</v>
      </c>
      <c r="AI45" s="15">
        <f t="shared" si="1"/>
        <v>2.1475</v>
      </c>
      <c r="AJ45" s="15">
        <f t="shared" si="1"/>
        <v>33.380000000000003</v>
      </c>
      <c r="AK45" s="15">
        <f t="shared" si="2"/>
        <v>12.755000000000001</v>
      </c>
      <c r="AL45" s="15">
        <f t="shared" si="3"/>
        <v>-0.25</v>
      </c>
      <c r="AM45" s="16">
        <v>1</v>
      </c>
      <c r="AN45" s="16">
        <v>1</v>
      </c>
    </row>
    <row r="46" spans="1:40" x14ac:dyDescent="0.25">
      <c r="A46" s="6">
        <v>61</v>
      </c>
      <c r="B46" s="6">
        <v>16</v>
      </c>
      <c r="C46" s="6" t="s">
        <v>33</v>
      </c>
      <c r="D46" s="6">
        <v>1</v>
      </c>
      <c r="E46" s="6" t="s">
        <v>34</v>
      </c>
      <c r="F46">
        <v>1</v>
      </c>
      <c r="G46">
        <v>253</v>
      </c>
      <c r="H46">
        <v>1</v>
      </c>
      <c r="I46">
        <v>151</v>
      </c>
      <c r="J46" s="7">
        <v>0</v>
      </c>
      <c r="K46" s="7">
        <v>105.48</v>
      </c>
      <c r="L46" s="7">
        <v>254.38</v>
      </c>
      <c r="M46" s="7">
        <v>316.85000000000002</v>
      </c>
      <c r="N46">
        <v>0</v>
      </c>
      <c r="O46">
        <v>111.58</v>
      </c>
      <c r="P46">
        <v>256.3</v>
      </c>
      <c r="Q46">
        <v>127.47</v>
      </c>
      <c r="R46" s="8">
        <v>0</v>
      </c>
      <c r="S46" s="8">
        <v>69.52</v>
      </c>
      <c r="T46" s="8">
        <v>121.99</v>
      </c>
      <c r="U46" s="8">
        <v>185.55</v>
      </c>
      <c r="V46">
        <v>0</v>
      </c>
      <c r="W46">
        <v>73.22</v>
      </c>
      <c r="X46">
        <v>78.900000000000006</v>
      </c>
      <c r="Y46">
        <v>74.930000000000007</v>
      </c>
      <c r="Z46" s="9">
        <v>0</v>
      </c>
      <c r="AA46" s="9">
        <v>35.96</v>
      </c>
      <c r="AB46" s="9">
        <v>132.4</v>
      </c>
      <c r="AC46" s="9">
        <v>131.30000000000001</v>
      </c>
      <c r="AD46">
        <v>0</v>
      </c>
      <c r="AE46">
        <v>38.36</v>
      </c>
      <c r="AF46">
        <v>177.4</v>
      </c>
      <c r="AG46">
        <v>52.53</v>
      </c>
      <c r="AH46" s="14">
        <f t="shared" si="0"/>
        <v>21.716666666666669</v>
      </c>
      <c r="AI46" s="15">
        <f t="shared" si="1"/>
        <v>-0.25</v>
      </c>
      <c r="AJ46" s="15">
        <f t="shared" si="1"/>
        <v>9.34</v>
      </c>
      <c r="AK46" s="15">
        <f t="shared" si="2"/>
        <v>88.2</v>
      </c>
      <c r="AL46" s="15">
        <f t="shared" si="3"/>
        <v>12.8825</v>
      </c>
      <c r="AM46" s="16">
        <v>1</v>
      </c>
      <c r="AN46" s="16">
        <v>1</v>
      </c>
    </row>
    <row r="47" spans="1:40" x14ac:dyDescent="0.25">
      <c r="A47" s="6">
        <v>62</v>
      </c>
      <c r="B47" s="6">
        <v>16</v>
      </c>
      <c r="C47" s="6" t="s">
        <v>35</v>
      </c>
      <c r="D47" s="6">
        <v>2</v>
      </c>
      <c r="E47" s="6" t="s">
        <v>34</v>
      </c>
      <c r="F47">
        <v>0</v>
      </c>
      <c r="G47">
        <v>35</v>
      </c>
      <c r="H47">
        <v>0</v>
      </c>
      <c r="I47">
        <v>173</v>
      </c>
      <c r="J47" s="7">
        <v>144.44999999999999</v>
      </c>
      <c r="K47" s="7">
        <v>0</v>
      </c>
      <c r="L47" s="7">
        <v>53.97</v>
      </c>
      <c r="M47" s="7">
        <v>185.21</v>
      </c>
      <c r="N47">
        <v>270.41000000000003</v>
      </c>
      <c r="O47">
        <v>0</v>
      </c>
      <c r="P47">
        <v>149.72999999999999</v>
      </c>
      <c r="Q47">
        <v>419.59</v>
      </c>
      <c r="R47" s="8">
        <v>11.85</v>
      </c>
      <c r="S47" s="8">
        <v>0</v>
      </c>
      <c r="T47" s="8">
        <v>5.21</v>
      </c>
      <c r="U47" s="8">
        <v>12.05</v>
      </c>
      <c r="V47">
        <v>95.96</v>
      </c>
      <c r="W47">
        <v>0</v>
      </c>
      <c r="X47">
        <v>54.73</v>
      </c>
      <c r="Y47">
        <v>144.11000000000001</v>
      </c>
      <c r="Z47" s="9">
        <v>132.6</v>
      </c>
      <c r="AA47" s="9">
        <v>0</v>
      </c>
      <c r="AB47" s="9">
        <v>48.77</v>
      </c>
      <c r="AC47" s="9">
        <v>173.15</v>
      </c>
      <c r="AD47">
        <v>174.45</v>
      </c>
      <c r="AE47">
        <v>0</v>
      </c>
      <c r="AF47">
        <v>95</v>
      </c>
      <c r="AG47">
        <v>275.48</v>
      </c>
      <c r="AH47" s="14">
        <f t="shared" si="0"/>
        <v>28.691666666666666</v>
      </c>
      <c r="AI47" s="15">
        <f t="shared" si="1"/>
        <v>43.362499999999997</v>
      </c>
      <c r="AJ47" s="15">
        <f t="shared" si="1"/>
        <v>-0.25</v>
      </c>
      <c r="AK47" s="15">
        <f t="shared" si="2"/>
        <v>47</v>
      </c>
      <c r="AL47" s="15">
        <f t="shared" si="3"/>
        <v>68.62</v>
      </c>
      <c r="AM47" s="16">
        <v>1</v>
      </c>
      <c r="AN47" s="16">
        <v>1</v>
      </c>
    </row>
    <row r="48" spans="1:40" x14ac:dyDescent="0.25">
      <c r="A48" s="6">
        <v>63</v>
      </c>
      <c r="B48" s="6">
        <v>16</v>
      </c>
      <c r="C48" s="6" t="s">
        <v>36</v>
      </c>
      <c r="D48" s="6">
        <v>3</v>
      </c>
      <c r="E48" s="6" t="s">
        <v>38</v>
      </c>
      <c r="F48">
        <v>0</v>
      </c>
      <c r="G48">
        <v>35</v>
      </c>
      <c r="H48">
        <v>0</v>
      </c>
      <c r="I48">
        <v>53</v>
      </c>
      <c r="J48" s="7">
        <v>299.73</v>
      </c>
      <c r="K48" s="7">
        <v>95.27</v>
      </c>
      <c r="L48" s="7">
        <v>0</v>
      </c>
      <c r="M48" s="7">
        <v>9.11</v>
      </c>
      <c r="N48">
        <v>281.64</v>
      </c>
      <c r="O48">
        <v>269.45</v>
      </c>
      <c r="P48">
        <v>0</v>
      </c>
      <c r="Q48">
        <v>15.89</v>
      </c>
      <c r="R48" s="8">
        <v>22.88</v>
      </c>
      <c r="S48" s="8">
        <v>9.73</v>
      </c>
      <c r="T48" s="8">
        <v>0</v>
      </c>
      <c r="U48" s="8">
        <v>1.78</v>
      </c>
      <c r="V48">
        <v>43.63</v>
      </c>
      <c r="W48">
        <v>36.78</v>
      </c>
      <c r="X48">
        <v>0</v>
      </c>
      <c r="Y48">
        <v>4.7300000000000004</v>
      </c>
      <c r="Z48" s="9">
        <v>276.85000000000002</v>
      </c>
      <c r="AA48" s="9">
        <v>85.55</v>
      </c>
      <c r="AB48" s="9">
        <v>0</v>
      </c>
      <c r="AC48" s="9">
        <v>7.33</v>
      </c>
      <c r="AD48">
        <v>238.01</v>
      </c>
      <c r="AE48">
        <v>232.67</v>
      </c>
      <c r="AF48">
        <v>0</v>
      </c>
      <c r="AG48">
        <v>11.16</v>
      </c>
      <c r="AH48" s="14">
        <f t="shared" si="0"/>
        <v>1.0549999999999999</v>
      </c>
      <c r="AI48" s="15">
        <f t="shared" si="1"/>
        <v>59.252499999999998</v>
      </c>
      <c r="AJ48" s="15">
        <f t="shared" si="1"/>
        <v>57.917499999999997</v>
      </c>
      <c r="AK48" s="15">
        <f t="shared" si="2"/>
        <v>-0.5</v>
      </c>
      <c r="AL48" s="15">
        <f t="shared" si="3"/>
        <v>2.54</v>
      </c>
      <c r="AM48" s="16">
        <v>1</v>
      </c>
      <c r="AN48" s="16">
        <v>1</v>
      </c>
    </row>
    <row r="49" spans="1:40" x14ac:dyDescent="0.25">
      <c r="A49" s="6">
        <v>64</v>
      </c>
      <c r="B49" s="6">
        <v>16</v>
      </c>
      <c r="C49" s="6" t="s">
        <v>37</v>
      </c>
      <c r="D49" s="6">
        <v>4</v>
      </c>
      <c r="E49" s="6" t="s">
        <v>34</v>
      </c>
      <c r="F49">
        <v>0</v>
      </c>
      <c r="G49">
        <v>156</v>
      </c>
      <c r="H49">
        <v>0</v>
      </c>
      <c r="I49">
        <v>50</v>
      </c>
      <c r="J49" s="7">
        <v>62.74</v>
      </c>
      <c r="K49" s="7">
        <v>179.86</v>
      </c>
      <c r="L49" s="7">
        <v>5.96</v>
      </c>
      <c r="M49" s="7">
        <v>0</v>
      </c>
      <c r="N49">
        <v>28.08</v>
      </c>
      <c r="O49">
        <v>152.47</v>
      </c>
      <c r="P49">
        <v>32.119999999999997</v>
      </c>
      <c r="Q49">
        <v>0</v>
      </c>
      <c r="R49" s="8">
        <v>13.9</v>
      </c>
      <c r="S49" s="8">
        <v>46.71</v>
      </c>
      <c r="T49" s="8">
        <v>0.55000000000000004</v>
      </c>
      <c r="U49" s="8">
        <v>0</v>
      </c>
      <c r="V49">
        <v>13.9</v>
      </c>
      <c r="W49">
        <v>13.77</v>
      </c>
      <c r="X49">
        <v>10.27</v>
      </c>
      <c r="Y49">
        <v>0</v>
      </c>
      <c r="Z49" s="9">
        <v>48.84</v>
      </c>
      <c r="AA49" s="9">
        <v>133.15</v>
      </c>
      <c r="AB49" s="9">
        <v>5.41</v>
      </c>
      <c r="AC49" s="9">
        <v>0</v>
      </c>
      <c r="AD49">
        <v>14.18</v>
      </c>
      <c r="AE49">
        <v>138.69999999999999</v>
      </c>
      <c r="AF49">
        <v>21.85</v>
      </c>
      <c r="AG49">
        <v>0</v>
      </c>
      <c r="AH49" s="14">
        <f t="shared" si="0"/>
        <v>-0.16666666666666666</v>
      </c>
      <c r="AI49" s="15">
        <f t="shared" si="1"/>
        <v>3.2949999999999999</v>
      </c>
      <c r="AJ49" s="15">
        <f t="shared" si="1"/>
        <v>34.424999999999997</v>
      </c>
      <c r="AK49" s="15">
        <f t="shared" si="2"/>
        <v>10.425000000000001</v>
      </c>
      <c r="AL49" s="15">
        <f t="shared" si="3"/>
        <v>-0.25</v>
      </c>
      <c r="AM49" s="16">
        <v>1</v>
      </c>
      <c r="AN49" s="16">
        <v>1</v>
      </c>
    </row>
    <row r="50" spans="1:40" x14ac:dyDescent="0.25">
      <c r="A50" s="6">
        <v>73</v>
      </c>
      <c r="B50" s="6">
        <v>19</v>
      </c>
      <c r="C50" s="6" t="s">
        <v>33</v>
      </c>
      <c r="D50" s="6">
        <v>1</v>
      </c>
      <c r="E50" s="6" t="s">
        <v>38</v>
      </c>
      <c r="F50">
        <v>0</v>
      </c>
      <c r="G50">
        <v>83</v>
      </c>
      <c r="H50">
        <v>0</v>
      </c>
      <c r="I50">
        <v>59</v>
      </c>
      <c r="J50" s="7">
        <v>0</v>
      </c>
      <c r="K50" s="7">
        <v>23.29</v>
      </c>
      <c r="L50" s="7">
        <v>361.51</v>
      </c>
      <c r="M50" s="7">
        <v>109.45</v>
      </c>
      <c r="N50">
        <v>27.6</v>
      </c>
      <c r="O50">
        <v>253.97</v>
      </c>
      <c r="P50">
        <v>104.32</v>
      </c>
      <c r="Q50">
        <v>129</v>
      </c>
      <c r="R50" s="8">
        <v>0</v>
      </c>
      <c r="S50" s="8">
        <v>18.36</v>
      </c>
      <c r="T50" s="8">
        <v>80.14</v>
      </c>
      <c r="U50" s="8">
        <v>58.84</v>
      </c>
      <c r="V50">
        <v>0</v>
      </c>
      <c r="W50">
        <v>6.58</v>
      </c>
      <c r="X50">
        <v>44.52</v>
      </c>
      <c r="Y50">
        <v>48.7</v>
      </c>
      <c r="Z50" s="9">
        <v>0</v>
      </c>
      <c r="AA50" s="9">
        <v>4.93</v>
      </c>
      <c r="AB50" s="9">
        <v>281.37</v>
      </c>
      <c r="AC50" s="9">
        <v>50.62</v>
      </c>
      <c r="AD50">
        <v>0</v>
      </c>
      <c r="AE50">
        <v>21.03</v>
      </c>
      <c r="AF50">
        <v>209.45</v>
      </c>
      <c r="AG50">
        <v>55.62</v>
      </c>
      <c r="AH50" s="14">
        <f t="shared" ref="AH50:AH61" si="4">(AC50 - 1)/(7-1)</f>
        <v>8.27</v>
      </c>
      <c r="AI50" s="15">
        <f t="shared" ref="AI50:AJ61" si="5">(AD50-1)/(5-1)</f>
        <v>-0.25</v>
      </c>
      <c r="AJ50" s="15">
        <f t="shared" si="5"/>
        <v>5.0075000000000003</v>
      </c>
      <c r="AK50" s="15">
        <f t="shared" ref="AK50:AK61" si="6">(AF50-1)/(3-1)</f>
        <v>104.22499999999999</v>
      </c>
      <c r="AL50" s="15">
        <f t="shared" ref="AL50:AL61" si="7">(AG50-1)/(5-1)</f>
        <v>13.654999999999999</v>
      </c>
      <c r="AM50" s="16">
        <v>1</v>
      </c>
      <c r="AN50" s="16">
        <v>0</v>
      </c>
    </row>
    <row r="51" spans="1:40" x14ac:dyDescent="0.25">
      <c r="A51" s="6">
        <v>74</v>
      </c>
      <c r="B51" s="6">
        <v>19</v>
      </c>
      <c r="C51" s="6" t="s">
        <v>35</v>
      </c>
      <c r="D51" s="6">
        <v>2</v>
      </c>
      <c r="E51" s="6" t="s">
        <v>34</v>
      </c>
      <c r="F51">
        <v>0</v>
      </c>
      <c r="G51">
        <v>20</v>
      </c>
      <c r="H51">
        <v>0</v>
      </c>
      <c r="I51">
        <v>20</v>
      </c>
      <c r="J51" s="7">
        <v>37.26</v>
      </c>
      <c r="K51" s="7">
        <v>0</v>
      </c>
      <c r="L51" s="7">
        <v>2.88</v>
      </c>
      <c r="M51" s="7">
        <v>332.67</v>
      </c>
      <c r="N51">
        <v>0</v>
      </c>
      <c r="O51">
        <v>10.14</v>
      </c>
      <c r="P51">
        <v>235.48</v>
      </c>
      <c r="Q51">
        <v>90</v>
      </c>
      <c r="R51" s="8">
        <v>0.68</v>
      </c>
      <c r="S51" s="8">
        <v>0</v>
      </c>
      <c r="T51" s="8">
        <v>0.21</v>
      </c>
      <c r="U51" s="8">
        <v>18.559999999999999</v>
      </c>
      <c r="V51">
        <v>2.4700000000000002</v>
      </c>
      <c r="W51">
        <v>0</v>
      </c>
      <c r="X51">
        <v>7.0000000000000007E-2</v>
      </c>
      <c r="Y51">
        <v>13.22</v>
      </c>
      <c r="Z51" s="9">
        <v>36.58</v>
      </c>
      <c r="AA51" s="9">
        <v>0</v>
      </c>
      <c r="AB51" s="9">
        <v>2.67</v>
      </c>
      <c r="AC51" s="9">
        <v>314.11</v>
      </c>
      <c r="AD51">
        <v>21.23</v>
      </c>
      <c r="AE51">
        <v>0</v>
      </c>
      <c r="AF51">
        <v>10.07</v>
      </c>
      <c r="AG51">
        <v>222.26</v>
      </c>
      <c r="AH51" s="14">
        <f t="shared" si="4"/>
        <v>52.185000000000002</v>
      </c>
      <c r="AI51" s="15">
        <f t="shared" si="5"/>
        <v>5.0575000000000001</v>
      </c>
      <c r="AJ51" s="15">
        <f t="shared" si="5"/>
        <v>-0.25</v>
      </c>
      <c r="AK51" s="15">
        <f t="shared" si="6"/>
        <v>4.5350000000000001</v>
      </c>
      <c r="AL51" s="15">
        <f t="shared" si="7"/>
        <v>55.314999999999998</v>
      </c>
      <c r="AM51" s="16">
        <v>1</v>
      </c>
      <c r="AN51" s="16">
        <v>0</v>
      </c>
    </row>
    <row r="52" spans="1:40" x14ac:dyDescent="0.25">
      <c r="A52" s="6">
        <v>75</v>
      </c>
      <c r="B52" s="6">
        <v>19</v>
      </c>
      <c r="C52" s="6" t="s">
        <v>36</v>
      </c>
      <c r="D52" s="6">
        <v>3</v>
      </c>
      <c r="E52" s="6" t="s">
        <v>34</v>
      </c>
      <c r="F52">
        <v>0</v>
      </c>
      <c r="G52">
        <v>46</v>
      </c>
      <c r="H52">
        <v>0</v>
      </c>
      <c r="I52">
        <v>33</v>
      </c>
      <c r="J52" s="7">
        <v>385.62</v>
      </c>
      <c r="K52" s="7">
        <v>76.92</v>
      </c>
      <c r="L52" s="7">
        <v>0</v>
      </c>
      <c r="M52" s="7">
        <v>25.21</v>
      </c>
      <c r="N52">
        <v>52.67</v>
      </c>
      <c r="O52">
        <v>0</v>
      </c>
      <c r="P52">
        <v>34.04</v>
      </c>
      <c r="Q52">
        <v>127</v>
      </c>
      <c r="R52" s="8">
        <v>37.67</v>
      </c>
      <c r="S52" s="8">
        <v>11.92</v>
      </c>
      <c r="T52" s="8">
        <v>0</v>
      </c>
      <c r="U52" s="8">
        <v>3.36</v>
      </c>
      <c r="V52">
        <v>32.6</v>
      </c>
      <c r="W52">
        <v>6.03</v>
      </c>
      <c r="X52">
        <v>0</v>
      </c>
      <c r="Y52">
        <v>25.41</v>
      </c>
      <c r="Z52" s="9">
        <v>347.95</v>
      </c>
      <c r="AA52" s="9">
        <v>65</v>
      </c>
      <c r="AB52" s="9">
        <v>0</v>
      </c>
      <c r="AC52" s="9">
        <v>21.85</v>
      </c>
      <c r="AD52">
        <v>263.08</v>
      </c>
      <c r="AE52">
        <v>46.64</v>
      </c>
      <c r="AF52">
        <v>0</v>
      </c>
      <c r="AG52">
        <v>8.6300000000000008</v>
      </c>
      <c r="AH52" s="14">
        <f t="shared" si="4"/>
        <v>3.4750000000000001</v>
      </c>
      <c r="AI52" s="15">
        <f t="shared" si="5"/>
        <v>65.52</v>
      </c>
      <c r="AJ52" s="15">
        <f t="shared" si="5"/>
        <v>11.41</v>
      </c>
      <c r="AK52" s="15">
        <f t="shared" si="6"/>
        <v>-0.5</v>
      </c>
      <c r="AL52" s="15">
        <f t="shared" si="7"/>
        <v>1.9075000000000002</v>
      </c>
      <c r="AM52" s="16">
        <v>1</v>
      </c>
      <c r="AN52" s="16">
        <v>0</v>
      </c>
    </row>
    <row r="53" spans="1:40" x14ac:dyDescent="0.25">
      <c r="A53" s="6">
        <v>76</v>
      </c>
      <c r="B53" s="6">
        <v>19</v>
      </c>
      <c r="C53" s="6" t="s">
        <v>37</v>
      </c>
      <c r="D53" s="6">
        <v>4</v>
      </c>
      <c r="E53" s="6" t="s">
        <v>38</v>
      </c>
      <c r="F53">
        <v>1</v>
      </c>
      <c r="G53">
        <v>150</v>
      </c>
      <c r="H53">
        <v>1</v>
      </c>
      <c r="I53">
        <v>91</v>
      </c>
      <c r="J53" s="7">
        <v>5.62</v>
      </c>
      <c r="K53" s="7">
        <v>326.23</v>
      </c>
      <c r="L53" s="7">
        <v>92.6</v>
      </c>
      <c r="M53" s="7">
        <v>0</v>
      </c>
      <c r="N53">
        <v>263.83999999999997</v>
      </c>
      <c r="O53">
        <v>81.099999999999994</v>
      </c>
      <c r="P53">
        <v>0</v>
      </c>
      <c r="Q53">
        <v>119</v>
      </c>
      <c r="R53" s="8">
        <v>3.01</v>
      </c>
      <c r="S53" s="8">
        <v>100.96</v>
      </c>
      <c r="T53" s="8">
        <v>37.81</v>
      </c>
      <c r="U53" s="8">
        <v>0</v>
      </c>
      <c r="V53">
        <v>0.62</v>
      </c>
      <c r="W53">
        <v>62.4</v>
      </c>
      <c r="X53">
        <v>23.29</v>
      </c>
      <c r="Y53">
        <v>0</v>
      </c>
      <c r="Z53" s="9">
        <v>2.6</v>
      </c>
      <c r="AA53" s="9">
        <v>225.27</v>
      </c>
      <c r="AB53" s="9">
        <v>54.79</v>
      </c>
      <c r="AC53" s="9">
        <v>0</v>
      </c>
      <c r="AD53">
        <v>12.67</v>
      </c>
      <c r="AE53">
        <v>201.44</v>
      </c>
      <c r="AF53">
        <v>57.81</v>
      </c>
      <c r="AG53">
        <v>0</v>
      </c>
      <c r="AH53" s="14">
        <f t="shared" si="4"/>
        <v>-0.16666666666666666</v>
      </c>
      <c r="AI53" s="15">
        <f t="shared" si="5"/>
        <v>2.9175</v>
      </c>
      <c r="AJ53" s="15">
        <f t="shared" si="5"/>
        <v>50.11</v>
      </c>
      <c r="AK53" s="15">
        <f t="shared" si="6"/>
        <v>28.405000000000001</v>
      </c>
      <c r="AL53" s="15">
        <f t="shared" si="7"/>
        <v>-0.25</v>
      </c>
      <c r="AM53" s="16">
        <v>1</v>
      </c>
      <c r="AN53" s="16">
        <v>0</v>
      </c>
    </row>
    <row r="54" spans="1:40" x14ac:dyDescent="0.25">
      <c r="A54" s="6">
        <v>77</v>
      </c>
      <c r="B54" s="6">
        <v>20</v>
      </c>
      <c r="C54" s="6" t="s">
        <v>33</v>
      </c>
      <c r="D54" s="6">
        <v>1</v>
      </c>
      <c r="E54" s="6" t="s">
        <v>34</v>
      </c>
      <c r="F54">
        <v>0</v>
      </c>
      <c r="G54">
        <v>74</v>
      </c>
      <c r="H54">
        <v>1</v>
      </c>
      <c r="I54">
        <v>128</v>
      </c>
      <c r="J54" s="7">
        <v>0</v>
      </c>
      <c r="K54" s="7">
        <v>22.95</v>
      </c>
      <c r="L54" s="7">
        <v>236.92</v>
      </c>
      <c r="M54" s="7">
        <v>100.48</v>
      </c>
      <c r="N54">
        <v>34.32</v>
      </c>
      <c r="O54">
        <v>312.26</v>
      </c>
      <c r="P54">
        <v>110.34</v>
      </c>
      <c r="Q54">
        <v>152</v>
      </c>
      <c r="R54" s="8">
        <v>0</v>
      </c>
      <c r="S54" s="8">
        <v>16.37</v>
      </c>
      <c r="T54" s="8">
        <v>52.05</v>
      </c>
      <c r="U54" s="8">
        <v>33.56</v>
      </c>
      <c r="V54">
        <v>0</v>
      </c>
      <c r="W54">
        <v>26.71</v>
      </c>
      <c r="X54">
        <v>112.95</v>
      </c>
      <c r="Y54">
        <v>58.29</v>
      </c>
      <c r="Z54" s="9">
        <v>0</v>
      </c>
      <c r="AA54" s="9">
        <v>6.58</v>
      </c>
      <c r="AB54" s="9">
        <v>184.86</v>
      </c>
      <c r="AC54" s="9">
        <v>66.92</v>
      </c>
      <c r="AD54">
        <v>0</v>
      </c>
      <c r="AE54">
        <v>7.6</v>
      </c>
      <c r="AF54">
        <v>199.32</v>
      </c>
      <c r="AG54">
        <v>52.05</v>
      </c>
      <c r="AH54" s="14">
        <f t="shared" si="4"/>
        <v>10.986666666666666</v>
      </c>
      <c r="AI54" s="15">
        <f t="shared" si="5"/>
        <v>-0.25</v>
      </c>
      <c r="AJ54" s="15">
        <f t="shared" si="5"/>
        <v>1.65</v>
      </c>
      <c r="AK54" s="15">
        <f t="shared" si="6"/>
        <v>99.16</v>
      </c>
      <c r="AL54" s="15">
        <f t="shared" si="7"/>
        <v>12.762499999999999</v>
      </c>
      <c r="AM54" s="16">
        <v>0</v>
      </c>
      <c r="AN54" s="16">
        <v>0</v>
      </c>
    </row>
    <row r="55" spans="1:40" x14ac:dyDescent="0.25">
      <c r="A55" s="6">
        <v>78</v>
      </c>
      <c r="B55" s="6">
        <v>20</v>
      </c>
      <c r="C55" s="6" t="s">
        <v>35</v>
      </c>
      <c r="D55" s="6">
        <v>2</v>
      </c>
      <c r="E55" s="6" t="s">
        <v>34</v>
      </c>
      <c r="F55">
        <v>0</v>
      </c>
      <c r="G55">
        <v>25</v>
      </c>
      <c r="H55">
        <v>0</v>
      </c>
      <c r="I55">
        <v>21</v>
      </c>
      <c r="J55" s="7">
        <v>18.149999999999999</v>
      </c>
      <c r="K55" s="7">
        <v>0</v>
      </c>
      <c r="L55" s="7">
        <v>36.1</v>
      </c>
      <c r="M55" s="7">
        <v>270.07</v>
      </c>
      <c r="N55">
        <v>0</v>
      </c>
      <c r="O55">
        <v>28.08</v>
      </c>
      <c r="P55">
        <v>272.74</v>
      </c>
      <c r="Q55">
        <v>113</v>
      </c>
      <c r="R55" s="8">
        <v>6.71</v>
      </c>
      <c r="S55" s="8">
        <v>0</v>
      </c>
      <c r="T55" s="8">
        <v>7.12</v>
      </c>
      <c r="U55" s="8">
        <v>21.92</v>
      </c>
      <c r="V55">
        <v>8.2200000000000006</v>
      </c>
      <c r="W55">
        <v>0</v>
      </c>
      <c r="X55">
        <v>3.7</v>
      </c>
      <c r="Y55">
        <v>16.78</v>
      </c>
      <c r="Z55" s="9">
        <v>11.44</v>
      </c>
      <c r="AA55" s="9">
        <v>0</v>
      </c>
      <c r="AB55" s="9">
        <v>28.97</v>
      </c>
      <c r="AC55" s="9">
        <v>248.15</v>
      </c>
      <c r="AD55">
        <v>31.44</v>
      </c>
      <c r="AE55">
        <v>0</v>
      </c>
      <c r="AF55">
        <v>24.38</v>
      </c>
      <c r="AG55">
        <v>255.96</v>
      </c>
      <c r="AH55" s="14">
        <f t="shared" si="4"/>
        <v>41.19166666666667</v>
      </c>
      <c r="AI55" s="15">
        <f t="shared" si="5"/>
        <v>7.61</v>
      </c>
      <c r="AJ55" s="15">
        <f t="shared" si="5"/>
        <v>-0.25</v>
      </c>
      <c r="AK55" s="15">
        <f t="shared" si="6"/>
        <v>11.69</v>
      </c>
      <c r="AL55" s="15">
        <f t="shared" si="7"/>
        <v>63.74</v>
      </c>
      <c r="AM55" s="16">
        <v>0</v>
      </c>
      <c r="AN55" s="16">
        <v>0</v>
      </c>
    </row>
    <row r="56" spans="1:40" x14ac:dyDescent="0.25">
      <c r="A56" s="6">
        <v>79</v>
      </c>
      <c r="B56" s="6">
        <v>20</v>
      </c>
      <c r="C56" s="6" t="s">
        <v>36</v>
      </c>
      <c r="D56" s="6">
        <v>3</v>
      </c>
      <c r="E56" s="6" t="s">
        <v>38</v>
      </c>
      <c r="F56">
        <v>1</v>
      </c>
      <c r="G56">
        <v>39</v>
      </c>
      <c r="H56">
        <v>0</v>
      </c>
      <c r="I56">
        <v>13</v>
      </c>
      <c r="J56" s="7">
        <v>233.08</v>
      </c>
      <c r="K56" s="7">
        <v>44.38</v>
      </c>
      <c r="L56" s="7">
        <v>0</v>
      </c>
      <c r="M56" s="7">
        <v>20</v>
      </c>
      <c r="N56">
        <v>18.36</v>
      </c>
      <c r="O56">
        <v>0</v>
      </c>
      <c r="P56">
        <v>16.37</v>
      </c>
      <c r="Q56">
        <v>124</v>
      </c>
      <c r="R56" s="8">
        <v>25.89</v>
      </c>
      <c r="S56" s="8">
        <v>14.11</v>
      </c>
      <c r="T56" s="8">
        <v>0</v>
      </c>
      <c r="U56" s="8">
        <v>6.78</v>
      </c>
      <c r="V56">
        <v>12.74</v>
      </c>
      <c r="W56">
        <v>0</v>
      </c>
      <c r="X56">
        <v>0</v>
      </c>
      <c r="Y56">
        <v>5.55</v>
      </c>
      <c r="Z56" s="9">
        <v>207.19</v>
      </c>
      <c r="AA56" s="9">
        <v>30.27</v>
      </c>
      <c r="AB56" s="9">
        <v>0</v>
      </c>
      <c r="AC56" s="9">
        <v>13.22</v>
      </c>
      <c r="AD56">
        <v>323.7</v>
      </c>
      <c r="AE56">
        <v>18.36</v>
      </c>
      <c r="AF56">
        <v>0</v>
      </c>
      <c r="AG56">
        <v>10.82</v>
      </c>
      <c r="AH56" s="14">
        <f t="shared" si="4"/>
        <v>2.0366666666666666</v>
      </c>
      <c r="AI56" s="15">
        <f t="shared" si="5"/>
        <v>80.674999999999997</v>
      </c>
      <c r="AJ56" s="15">
        <f t="shared" si="5"/>
        <v>4.34</v>
      </c>
      <c r="AK56" s="15">
        <f t="shared" si="6"/>
        <v>-0.5</v>
      </c>
      <c r="AL56" s="15">
        <f t="shared" si="7"/>
        <v>2.4550000000000001</v>
      </c>
      <c r="AM56" s="16">
        <v>0</v>
      </c>
      <c r="AN56" s="16">
        <v>0</v>
      </c>
    </row>
    <row r="57" spans="1:40" x14ac:dyDescent="0.25">
      <c r="A57" s="6">
        <v>80</v>
      </c>
      <c r="B57" s="6">
        <v>20</v>
      </c>
      <c r="C57" s="6" t="s">
        <v>37</v>
      </c>
      <c r="D57" s="6">
        <v>4</v>
      </c>
      <c r="E57" s="6" t="s">
        <v>38</v>
      </c>
      <c r="F57">
        <v>0</v>
      </c>
      <c r="G57">
        <v>149</v>
      </c>
      <c r="H57">
        <v>0</v>
      </c>
      <c r="I57">
        <v>115</v>
      </c>
      <c r="J57" s="7">
        <v>92.19</v>
      </c>
      <c r="K57" s="7">
        <v>339.59</v>
      </c>
      <c r="L57" s="7">
        <v>114.18</v>
      </c>
      <c r="M57" s="7">
        <v>0</v>
      </c>
      <c r="N57">
        <v>347.12</v>
      </c>
      <c r="O57">
        <v>67.81</v>
      </c>
      <c r="P57">
        <v>0</v>
      </c>
      <c r="Q57">
        <v>143</v>
      </c>
      <c r="R57" s="8">
        <v>57.88</v>
      </c>
      <c r="S57" s="8">
        <v>140</v>
      </c>
      <c r="T57" s="8">
        <v>76.37</v>
      </c>
      <c r="U57" s="8">
        <v>0</v>
      </c>
      <c r="V57">
        <v>4.8600000000000003</v>
      </c>
      <c r="W57">
        <v>113.42</v>
      </c>
      <c r="X57">
        <v>52.05</v>
      </c>
      <c r="Y57">
        <v>0</v>
      </c>
      <c r="Z57" s="9">
        <v>34.32</v>
      </c>
      <c r="AA57" s="9">
        <v>199.59</v>
      </c>
      <c r="AB57" s="9">
        <v>37.81</v>
      </c>
      <c r="AC57" s="9">
        <v>0</v>
      </c>
      <c r="AD57">
        <v>8.6300000000000008</v>
      </c>
      <c r="AE57">
        <v>233.7</v>
      </c>
      <c r="AF57">
        <v>15.75</v>
      </c>
      <c r="AG57">
        <v>0</v>
      </c>
      <c r="AH57" s="14">
        <f t="shared" si="4"/>
        <v>-0.16666666666666666</v>
      </c>
      <c r="AI57" s="15">
        <f t="shared" si="5"/>
        <v>1.9075000000000002</v>
      </c>
      <c r="AJ57" s="15">
        <f t="shared" si="5"/>
        <v>58.174999999999997</v>
      </c>
      <c r="AK57" s="15">
        <f t="shared" si="6"/>
        <v>7.375</v>
      </c>
      <c r="AL57" s="15">
        <f t="shared" si="7"/>
        <v>-0.25</v>
      </c>
      <c r="AM57" s="16">
        <v>0</v>
      </c>
      <c r="AN57" s="16">
        <v>0</v>
      </c>
    </row>
    <row r="58" spans="1:40" x14ac:dyDescent="0.25">
      <c r="A58" s="6">
        <v>81</v>
      </c>
      <c r="B58" s="6">
        <v>21</v>
      </c>
      <c r="C58" s="6" t="s">
        <v>33</v>
      </c>
      <c r="D58" s="6">
        <v>1</v>
      </c>
      <c r="E58" s="6" t="s">
        <v>34</v>
      </c>
      <c r="F58">
        <v>0</v>
      </c>
      <c r="G58">
        <v>106</v>
      </c>
      <c r="H58">
        <v>1</v>
      </c>
      <c r="I58">
        <v>175</v>
      </c>
      <c r="J58" s="7">
        <v>0</v>
      </c>
      <c r="K58" s="7">
        <v>41.03</v>
      </c>
      <c r="L58" s="7">
        <v>518.01</v>
      </c>
      <c r="M58" s="7">
        <v>192.12</v>
      </c>
      <c r="N58">
        <v>18.63</v>
      </c>
      <c r="O58">
        <v>411.37</v>
      </c>
      <c r="P58">
        <v>239.52</v>
      </c>
      <c r="Q58">
        <v>223</v>
      </c>
      <c r="R58" s="8">
        <v>0</v>
      </c>
      <c r="S58" s="8">
        <v>0.75</v>
      </c>
      <c r="T58" s="8">
        <v>83.15</v>
      </c>
      <c r="U58" s="8">
        <v>67.88</v>
      </c>
      <c r="V58">
        <v>0</v>
      </c>
      <c r="W58">
        <v>4.7300000000000004</v>
      </c>
      <c r="X58">
        <v>120.27</v>
      </c>
      <c r="Y58">
        <v>99.25</v>
      </c>
      <c r="Z58" s="9">
        <v>0</v>
      </c>
      <c r="AA58" s="9">
        <v>40.270000000000003</v>
      </c>
      <c r="AB58" s="9">
        <v>434.86</v>
      </c>
      <c r="AC58" s="9">
        <v>124.25</v>
      </c>
      <c r="AD58" s="10">
        <v>0</v>
      </c>
      <c r="AE58">
        <v>13.9</v>
      </c>
      <c r="AF58">
        <v>291.10000000000002</v>
      </c>
      <c r="AG58">
        <v>140.27000000000001</v>
      </c>
      <c r="AH58" s="14">
        <f t="shared" si="4"/>
        <v>20.541666666666668</v>
      </c>
      <c r="AI58" s="15">
        <f t="shared" si="5"/>
        <v>-0.25</v>
      </c>
      <c r="AJ58" s="15">
        <f t="shared" si="5"/>
        <v>3.2250000000000001</v>
      </c>
      <c r="AK58" s="15">
        <f t="shared" si="6"/>
        <v>145.05000000000001</v>
      </c>
      <c r="AL58" s="15">
        <f t="shared" si="7"/>
        <v>34.817500000000003</v>
      </c>
      <c r="AM58" s="16">
        <v>1</v>
      </c>
      <c r="AN58" s="16">
        <v>1</v>
      </c>
    </row>
    <row r="59" spans="1:40" x14ac:dyDescent="0.25">
      <c r="A59" s="6">
        <v>82</v>
      </c>
      <c r="B59" s="6">
        <v>21</v>
      </c>
      <c r="C59" s="6" t="s">
        <v>35</v>
      </c>
      <c r="D59" s="6">
        <v>2</v>
      </c>
      <c r="E59" s="6" t="s">
        <v>34</v>
      </c>
      <c r="F59">
        <v>1</v>
      </c>
      <c r="G59">
        <v>236</v>
      </c>
      <c r="H59">
        <v>0</v>
      </c>
      <c r="I59">
        <v>111</v>
      </c>
      <c r="J59" s="7">
        <v>158.69999999999999</v>
      </c>
      <c r="K59" s="7">
        <v>0</v>
      </c>
      <c r="L59" s="7">
        <v>67.88</v>
      </c>
      <c r="M59" s="7">
        <v>364.45</v>
      </c>
      <c r="N59">
        <v>0</v>
      </c>
      <c r="O59">
        <v>57.6</v>
      </c>
      <c r="P59">
        <v>321.51</v>
      </c>
      <c r="Q59">
        <v>154</v>
      </c>
      <c r="R59" s="8">
        <v>116.92</v>
      </c>
      <c r="S59" s="8">
        <v>0</v>
      </c>
      <c r="T59" s="8">
        <v>32.47</v>
      </c>
      <c r="U59" s="8">
        <v>203.36</v>
      </c>
      <c r="V59">
        <v>47.53</v>
      </c>
      <c r="W59">
        <v>0</v>
      </c>
      <c r="X59">
        <v>26.58</v>
      </c>
      <c r="Y59">
        <v>97.53</v>
      </c>
      <c r="Z59" s="9">
        <v>41.78</v>
      </c>
      <c r="AA59" s="9">
        <v>0</v>
      </c>
      <c r="AB59" s="9">
        <v>35.409999999999997</v>
      </c>
      <c r="AC59" s="9">
        <v>161.1</v>
      </c>
      <c r="AD59">
        <v>35.68</v>
      </c>
      <c r="AE59">
        <v>0</v>
      </c>
      <c r="AF59">
        <v>31.03</v>
      </c>
      <c r="AG59">
        <v>223.97</v>
      </c>
      <c r="AH59" s="14">
        <f t="shared" si="4"/>
        <v>26.683333333333334</v>
      </c>
      <c r="AI59" s="15">
        <f t="shared" si="5"/>
        <v>8.67</v>
      </c>
      <c r="AJ59" s="15">
        <f t="shared" si="5"/>
        <v>-0.25</v>
      </c>
      <c r="AK59" s="15">
        <f t="shared" si="6"/>
        <v>15.015000000000001</v>
      </c>
      <c r="AL59" s="15">
        <f t="shared" si="7"/>
        <v>55.7425</v>
      </c>
      <c r="AM59" s="16">
        <v>1</v>
      </c>
      <c r="AN59" s="16">
        <v>1</v>
      </c>
    </row>
    <row r="60" spans="1:40" x14ac:dyDescent="0.25">
      <c r="A60" s="6">
        <v>83</v>
      </c>
      <c r="B60" s="6">
        <v>21</v>
      </c>
      <c r="C60" s="6" t="s">
        <v>36</v>
      </c>
      <c r="D60" s="6">
        <v>3</v>
      </c>
      <c r="E60" s="6" t="s">
        <v>34</v>
      </c>
      <c r="F60">
        <v>0</v>
      </c>
      <c r="G60">
        <v>57</v>
      </c>
      <c r="H60">
        <v>0</v>
      </c>
      <c r="I60">
        <v>68</v>
      </c>
      <c r="J60" s="7">
        <v>211.99</v>
      </c>
      <c r="K60" s="7">
        <v>33.29</v>
      </c>
      <c r="L60" s="7">
        <v>0</v>
      </c>
      <c r="M60" s="7">
        <v>43.97</v>
      </c>
      <c r="N60">
        <v>23.08</v>
      </c>
      <c r="O60">
        <v>0</v>
      </c>
      <c r="P60">
        <v>39.380000000000003</v>
      </c>
      <c r="Q60">
        <v>137</v>
      </c>
      <c r="R60" s="8">
        <v>34.32</v>
      </c>
      <c r="S60" s="8">
        <v>4.45</v>
      </c>
      <c r="T60" s="8">
        <v>0</v>
      </c>
      <c r="U60" s="8">
        <v>16.989999999999998</v>
      </c>
      <c r="V60">
        <v>43.56</v>
      </c>
      <c r="W60">
        <v>0.62</v>
      </c>
      <c r="X60">
        <v>0</v>
      </c>
      <c r="Y60">
        <v>14.66</v>
      </c>
      <c r="Z60" s="9">
        <v>177.67</v>
      </c>
      <c r="AA60" s="9">
        <v>28.84</v>
      </c>
      <c r="AB60" s="9">
        <v>0</v>
      </c>
      <c r="AC60" s="9">
        <v>26.99</v>
      </c>
      <c r="AD60">
        <v>305.95999999999998</v>
      </c>
      <c r="AE60">
        <v>22.47</v>
      </c>
      <c r="AF60">
        <v>0</v>
      </c>
      <c r="AG60">
        <v>24.73</v>
      </c>
      <c r="AH60" s="14">
        <f t="shared" si="4"/>
        <v>4.3316666666666661</v>
      </c>
      <c r="AI60" s="15">
        <f t="shared" si="5"/>
        <v>76.239999999999995</v>
      </c>
      <c r="AJ60" s="15">
        <f t="shared" si="5"/>
        <v>5.3674999999999997</v>
      </c>
      <c r="AK60" s="15">
        <f t="shared" si="6"/>
        <v>-0.5</v>
      </c>
      <c r="AL60" s="15">
        <f t="shared" si="7"/>
        <v>5.9325000000000001</v>
      </c>
      <c r="AM60" s="16">
        <v>1</v>
      </c>
      <c r="AN60" s="16">
        <v>1</v>
      </c>
    </row>
    <row r="61" spans="1:40" x14ac:dyDescent="0.25">
      <c r="A61" s="6">
        <v>84</v>
      </c>
      <c r="B61" s="6">
        <v>21</v>
      </c>
      <c r="C61" s="6" t="s">
        <v>37</v>
      </c>
      <c r="D61" s="6">
        <v>4</v>
      </c>
      <c r="E61" s="6" t="s">
        <v>34</v>
      </c>
      <c r="F61">
        <v>0</v>
      </c>
      <c r="G61">
        <v>112</v>
      </c>
      <c r="H61">
        <v>0</v>
      </c>
      <c r="I61">
        <v>131</v>
      </c>
      <c r="J61" s="7">
        <v>118.9</v>
      </c>
      <c r="K61" s="7">
        <v>305</v>
      </c>
      <c r="L61" s="7">
        <v>4.59</v>
      </c>
      <c r="M61" s="7">
        <v>0</v>
      </c>
      <c r="N61">
        <v>126.64</v>
      </c>
      <c r="O61">
        <v>26.03</v>
      </c>
      <c r="P61">
        <v>0</v>
      </c>
      <c r="Q61">
        <v>69</v>
      </c>
      <c r="R61" s="8">
        <v>64.930000000000007</v>
      </c>
      <c r="S61" s="8">
        <v>37.47</v>
      </c>
      <c r="T61" s="8">
        <v>1.44</v>
      </c>
      <c r="U61" s="8">
        <v>0</v>
      </c>
      <c r="V61">
        <v>33.56</v>
      </c>
      <c r="W61">
        <v>6.64</v>
      </c>
      <c r="X61">
        <v>10.62</v>
      </c>
      <c r="Y61">
        <v>0</v>
      </c>
      <c r="Z61" s="9">
        <v>53.97</v>
      </c>
      <c r="AA61" s="9">
        <v>267.52999999999997</v>
      </c>
      <c r="AB61" s="9">
        <v>3.15</v>
      </c>
      <c r="AC61" s="9">
        <v>0</v>
      </c>
      <c r="AD61">
        <v>19.66</v>
      </c>
      <c r="AE61">
        <v>120</v>
      </c>
      <c r="AF61">
        <v>15.41</v>
      </c>
      <c r="AG61">
        <v>0</v>
      </c>
      <c r="AH61" s="14">
        <f t="shared" si="4"/>
        <v>-0.16666666666666666</v>
      </c>
      <c r="AI61" s="15">
        <f t="shared" si="5"/>
        <v>4.665</v>
      </c>
      <c r="AJ61" s="15">
        <f t="shared" si="5"/>
        <v>29.75</v>
      </c>
      <c r="AK61" s="15">
        <f t="shared" si="6"/>
        <v>7.2050000000000001</v>
      </c>
      <c r="AL61" s="15">
        <f t="shared" si="7"/>
        <v>-0.25</v>
      </c>
      <c r="AM61" s="16">
        <v>1</v>
      </c>
      <c r="AN61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O.</dc:creator>
  <cp:lastModifiedBy>Rodrigo Oliva Alarcón</cp:lastModifiedBy>
  <dcterms:created xsi:type="dcterms:W3CDTF">2015-06-05T18:19:34Z</dcterms:created>
  <dcterms:modified xsi:type="dcterms:W3CDTF">2025-11-30T00:37:13Z</dcterms:modified>
</cp:coreProperties>
</file>